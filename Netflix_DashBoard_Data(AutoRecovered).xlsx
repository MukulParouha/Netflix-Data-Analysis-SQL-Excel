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\Documents\"/>
    </mc:Choice>
  </mc:AlternateContent>
  <xr:revisionPtr revIDLastSave="0" documentId="13_ncr:2001_{B1F285CC-A646-4AB5-97A7-71EF4E271EB4}" xr6:coauthVersionLast="47" xr6:coauthVersionMax="47" xr10:uidLastSave="{00000000-0000-0000-0000-000000000000}"/>
  <bookViews>
    <workbookView xWindow="-108" yWindow="-108" windowWidth="23256" windowHeight="12456" tabRatio="744" firstSheet="1" activeTab="6" xr2:uid="{0663F0DB-28D7-4740-A85D-D95E46649E36}"/>
  </bookViews>
  <sheets>
    <sheet name="Subscription &amp; Revenue Analysis" sheetId="1" r:id="rId1"/>
    <sheet name="Netflix Dashboard" sheetId="7" r:id="rId2"/>
    <sheet name="Churn &amp; Retention" sheetId="8" r:id="rId3"/>
    <sheet name="Customer Analysis" sheetId="2" r:id="rId4"/>
    <sheet name="Content &amp; Genre Analysis" sheetId="3" r:id="rId5"/>
    <sheet name="recommandation_shown" sheetId="5" r:id="rId6"/>
    <sheet name="payment_segament" sheetId="6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4" i="6"/>
  <c r="C5" i="6"/>
  <c r="C2" i="6"/>
  <c r="H3" i="5"/>
  <c r="Z14" i="3"/>
  <c r="Z15" i="3"/>
  <c r="Z16" i="3"/>
  <c r="Z17" i="3"/>
  <c r="Z18" i="3"/>
  <c r="Z13" i="3"/>
  <c r="Z7" i="3"/>
  <c r="Z6" i="3"/>
  <c r="Z5" i="3"/>
  <c r="Z4" i="3"/>
  <c r="Z3" i="3"/>
  <c r="Z2" i="3"/>
  <c r="R15" i="3"/>
  <c r="S4" i="3"/>
  <c r="U3" i="3" s="1"/>
  <c r="R4" i="3"/>
  <c r="T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O3" i="2"/>
  <c r="O4" i="2"/>
  <c r="O5" i="2"/>
  <c r="O6" i="2"/>
  <c r="O7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/>
  <c r="K4" i="1"/>
  <c r="K5" i="1"/>
  <c r="K2" i="1"/>
  <c r="T3" i="3" l="1"/>
  <c r="U2" i="3"/>
</calcChain>
</file>

<file path=xl/sharedStrings.xml><?xml version="1.0" encoding="utf-8"?>
<sst xmlns="http://schemas.openxmlformats.org/spreadsheetml/2006/main" count="1218" uniqueCount="1122">
  <si>
    <t>month</t>
  </si>
  <si>
    <t>sub_count</t>
  </si>
  <si>
    <t>Revenue</t>
  </si>
  <si>
    <t>BASIC</t>
  </si>
  <si>
    <t>MOBILE</t>
  </si>
  <si>
    <t>PREMIUM</t>
  </si>
  <si>
    <t>STANDARD</t>
  </si>
  <si>
    <t>plan</t>
  </si>
  <si>
    <t>revenue</t>
  </si>
  <si>
    <t>% Revenue</t>
  </si>
  <si>
    <t xml:space="preserve"> plan </t>
  </si>
  <si>
    <t>sb_cunt</t>
  </si>
  <si>
    <t>avg_rev_per_users</t>
  </si>
  <si>
    <t>customer_count</t>
  </si>
  <si>
    <t>&lt;18</t>
  </si>
  <si>
    <t>18-25</t>
  </si>
  <si>
    <t>26-35</t>
  </si>
  <si>
    <t>36-45</t>
  </si>
  <si>
    <t>46-65</t>
  </si>
  <si>
    <t>&gt;65</t>
  </si>
  <si>
    <t>age_bucket</t>
  </si>
  <si>
    <t>cust_count</t>
  </si>
  <si>
    <t>Male</t>
  </si>
  <si>
    <t>Non-binary</t>
  </si>
  <si>
    <t>Female</t>
  </si>
  <si>
    <t>gender</t>
  </si>
  <si>
    <t>Spain</t>
  </si>
  <si>
    <t>IND</t>
  </si>
  <si>
    <t>Italy</t>
  </si>
  <si>
    <t>UAE</t>
  </si>
  <si>
    <t>US</t>
  </si>
  <si>
    <t>India</t>
  </si>
  <si>
    <t>USA</t>
  </si>
  <si>
    <t>France</t>
  </si>
  <si>
    <t>United Kingdom</t>
  </si>
  <si>
    <t>Mexico</t>
  </si>
  <si>
    <t>Brazil</t>
  </si>
  <si>
    <t>UK</t>
  </si>
  <si>
    <t>Australia</t>
  </si>
  <si>
    <t>Germany</t>
  </si>
  <si>
    <t>Japan</t>
  </si>
  <si>
    <t>Singapore</t>
  </si>
  <si>
    <t>Canada</t>
  </si>
  <si>
    <t>South Korea</t>
  </si>
  <si>
    <t>% cust_count</t>
  </si>
  <si>
    <t>country</t>
  </si>
  <si>
    <t>Referral</t>
  </si>
  <si>
    <t>Email</t>
  </si>
  <si>
    <t>Organic</t>
  </si>
  <si>
    <t>Partner</t>
  </si>
  <si>
    <t>Paid Search</t>
  </si>
  <si>
    <t>Social</t>
  </si>
  <si>
    <t>acqu_channel</t>
  </si>
  <si>
    <t>action</t>
  </si>
  <si>
    <t>Action</t>
  </si>
  <si>
    <t>animation</t>
  </si>
  <si>
    <t>Animation</t>
  </si>
  <si>
    <t>comedy</t>
  </si>
  <si>
    <t>Comedy</t>
  </si>
  <si>
    <t>crime</t>
  </si>
  <si>
    <t>Crime</t>
  </si>
  <si>
    <t>documentary</t>
  </si>
  <si>
    <t>Documentary</t>
  </si>
  <si>
    <t>drama</t>
  </si>
  <si>
    <t>Drama</t>
  </si>
  <si>
    <t>family</t>
  </si>
  <si>
    <t>Family</t>
  </si>
  <si>
    <t>fantasy</t>
  </si>
  <si>
    <t>Fantasy</t>
  </si>
  <si>
    <t>horror</t>
  </si>
  <si>
    <t>Horror</t>
  </si>
  <si>
    <t>reality</t>
  </si>
  <si>
    <t>Reality</t>
  </si>
  <si>
    <t>romance</t>
  </si>
  <si>
    <t>Romance</t>
  </si>
  <si>
    <t>sci-fi</t>
  </si>
  <si>
    <t>Sci-Fi</t>
  </si>
  <si>
    <t>sports</t>
  </si>
  <si>
    <t>Sports</t>
  </si>
  <si>
    <t>stand-up</t>
  </si>
  <si>
    <t>Stand-up</t>
  </si>
  <si>
    <t>thriller</t>
  </si>
  <si>
    <t>Thriller</t>
  </si>
  <si>
    <t xml:space="preserve">gerne </t>
  </si>
  <si>
    <t>view_count</t>
  </si>
  <si>
    <t>%View_count</t>
  </si>
  <si>
    <t>gerne</t>
  </si>
  <si>
    <t>view_time</t>
  </si>
  <si>
    <t>% view_time</t>
  </si>
  <si>
    <t>avg_rating</t>
  </si>
  <si>
    <t>watch_time</t>
  </si>
  <si>
    <t>movies_name</t>
  </si>
  <si>
    <t>Netflix Original Story 0077</t>
  </si>
  <si>
    <t>Netflix Original Story 2730</t>
  </si>
  <si>
    <t>Netflix Original Story 1844</t>
  </si>
  <si>
    <t>Netflix Original Story 1604</t>
  </si>
  <si>
    <t>Netflix Original Story 0966</t>
  </si>
  <si>
    <t>Netflix Original Story 2152</t>
  </si>
  <si>
    <t>Netflix Original Story 2785</t>
  </si>
  <si>
    <t>Netflix Original Story 0558</t>
  </si>
  <si>
    <t>Netflix Original Story 1814</t>
  </si>
  <si>
    <t>Netflix Original Story 1165</t>
  </si>
  <si>
    <t>Netflix Original Story 2477</t>
  </si>
  <si>
    <t>Netflix Original Story 2581</t>
  </si>
  <si>
    <t>Netflix Original Story 0201</t>
  </si>
  <si>
    <t>Netflix Original Story 0593</t>
  </si>
  <si>
    <t>Netflix Original Story 0557</t>
  </si>
  <si>
    <t>Netflix Original Story 0095</t>
  </si>
  <si>
    <t>Netflix Original Story 0240</t>
  </si>
  <si>
    <t>Netflix Original Story 1074</t>
  </si>
  <si>
    <t>Netflix Original Story 0651</t>
  </si>
  <si>
    <t>Netflix Original Story 1496</t>
  </si>
  <si>
    <t>Netflix Original Story 1973</t>
  </si>
  <si>
    <t>Netflix Original Story 0321</t>
  </si>
  <si>
    <t>Netflix Original Story 1110</t>
  </si>
  <si>
    <t>Netflix Original Story 1728</t>
  </si>
  <si>
    <t>Netflix Original Story 2224</t>
  </si>
  <si>
    <t>Netflix Original Story 2898</t>
  </si>
  <si>
    <t>Netflix Original Story 0519</t>
  </si>
  <si>
    <t>Netflix Original Story 1113</t>
  </si>
  <si>
    <t>Netflix Original Story 1280</t>
  </si>
  <si>
    <t>Netflix Original Story 2763</t>
  </si>
  <si>
    <t>Netflix Original Story 0984</t>
  </si>
  <si>
    <t>Netflix Original Story 2495</t>
  </si>
  <si>
    <t>Netflix Original Story 2704</t>
  </si>
  <si>
    <t>Netflix Original Story 2567</t>
  </si>
  <si>
    <t>Netflix Original Story 2928</t>
  </si>
  <si>
    <t>Netflix Original Story 0366</t>
  </si>
  <si>
    <t>Netflix Original Story 2906</t>
  </si>
  <si>
    <t>Netflix Original Story 0916</t>
  </si>
  <si>
    <t>Netflix Original Story 2914</t>
  </si>
  <si>
    <t>Netflix Original Story 1635</t>
  </si>
  <si>
    <t>Netflix Original Story 0083</t>
  </si>
  <si>
    <t>Netflix Original Story 2648</t>
  </si>
  <si>
    <t>Netflix Original Story 0829</t>
  </si>
  <si>
    <t>Netflix Original Story 1648</t>
  </si>
  <si>
    <t>Netflix Original Story 0362</t>
  </si>
  <si>
    <t>Netflix Original Story 1439</t>
  </si>
  <si>
    <t>Netflix Original Story 0941</t>
  </si>
  <si>
    <t>Netflix Original Story 0486</t>
  </si>
  <si>
    <t>Netflix Original Story 1735</t>
  </si>
  <si>
    <t>Netflix Original Story 0154</t>
  </si>
  <si>
    <t>Netflix Original Story 0150</t>
  </si>
  <si>
    <t>Netflix Original Story 0501</t>
  </si>
  <si>
    <t>Netflix Original Story 1668</t>
  </si>
  <si>
    <t>Netflix Original Story 0057</t>
  </si>
  <si>
    <t>Netflix Original Story 0307</t>
  </si>
  <si>
    <t>Netflix Original Story 2760</t>
  </si>
  <si>
    <t>Netflix Original Story 1063</t>
  </si>
  <si>
    <t>Netflix Original Story 0921</t>
  </si>
  <si>
    <t>Netflix Original Story 2487</t>
  </si>
  <si>
    <t>Netflix Original Story 0302</t>
  </si>
  <si>
    <t>Netflix Original Story 2272</t>
  </si>
  <si>
    <t>Netflix Original Story 0427</t>
  </si>
  <si>
    <t>Netflix Original Story 1415</t>
  </si>
  <si>
    <t>Netflix Original Story 1780</t>
  </si>
  <si>
    <t>Alice in Borderland</t>
  </si>
  <si>
    <t>Netflix Original Story 0653</t>
  </si>
  <si>
    <t>Netflix Original Story 1540</t>
  </si>
  <si>
    <t>Netflix Original Story 1277</t>
  </si>
  <si>
    <t>Netflix Original Story 1675</t>
  </si>
  <si>
    <t>Netflix Original Story 2737</t>
  </si>
  <si>
    <t>Netflix Original Story 0361</t>
  </si>
  <si>
    <t>Netflix Original Story 1421</t>
  </si>
  <si>
    <t>Netflix Original Story 0288</t>
  </si>
  <si>
    <t>Netflix Original Story 1236</t>
  </si>
  <si>
    <t>Netflix Original Story 0816</t>
  </si>
  <si>
    <t>Netflix Original Story 2520</t>
  </si>
  <si>
    <t>Netflix Original Story 0676</t>
  </si>
  <si>
    <t>Netflix Original Story 2100</t>
  </si>
  <si>
    <t>Netflix Original Story 2406</t>
  </si>
  <si>
    <t>Netflix Original Story 1765</t>
  </si>
  <si>
    <t>Netflix Original Story 0805</t>
  </si>
  <si>
    <t>Netflix Original Story 2187</t>
  </si>
  <si>
    <t>Netflix Original Story 0052</t>
  </si>
  <si>
    <t>Netflix Original Story 1685</t>
  </si>
  <si>
    <t>Netflix Original Story 1369</t>
  </si>
  <si>
    <t>Netflix Original Story 0160</t>
  </si>
  <si>
    <t>Netflix Original Story 1548</t>
  </si>
  <si>
    <t>Netflix Original Story 2055</t>
  </si>
  <si>
    <t>Netflix Original Story 0544</t>
  </si>
  <si>
    <t>Netflix Original Story 2755</t>
  </si>
  <si>
    <t>Netflix Original Story 0215</t>
  </si>
  <si>
    <t>Netflix Original Story 1988</t>
  </si>
  <si>
    <t>Netflix Original Story 1128</t>
  </si>
  <si>
    <t>Netflix Original Story 0733</t>
  </si>
  <si>
    <t>Netflix Original Story 0468</t>
  </si>
  <si>
    <t>Netflix Original Story 2437</t>
  </si>
  <si>
    <t>Netflix Original Story 0237</t>
  </si>
  <si>
    <t>Netflix Original Story 2508</t>
  </si>
  <si>
    <t>Netflix Original Story 1268</t>
  </si>
  <si>
    <t>Netflix Original Story 1329</t>
  </si>
  <si>
    <t>Netflix Original Story 1240</t>
  </si>
  <si>
    <t>Netflix Original Story 0244</t>
  </si>
  <si>
    <t>Netflix Original Story 2198</t>
  </si>
  <si>
    <t>Netflix Original Story 2617</t>
  </si>
  <si>
    <t>Netflix Original Story 0903</t>
  </si>
  <si>
    <t>Netflix Original Story 0157</t>
  </si>
  <si>
    <t>Netflix Original Story 2327</t>
  </si>
  <si>
    <t>Netflix Original Story 2192</t>
  </si>
  <si>
    <t>Netflix Original Story 2316</t>
  </si>
  <si>
    <t>Netflix Original Story 2081</t>
  </si>
  <si>
    <t>Netflix Original Story 1621</t>
  </si>
  <si>
    <t>Netflix Original Story 0056</t>
  </si>
  <si>
    <t>Netflix Original Story 1219</t>
  </si>
  <si>
    <t>Netflix Original Story 0206</t>
  </si>
  <si>
    <t>Black Mirror</t>
  </si>
  <si>
    <t>Netflix Original Story 2239</t>
  </si>
  <si>
    <t>Netflix Original Story 2096</t>
  </si>
  <si>
    <t>Netflix Original Story 0837</t>
  </si>
  <si>
    <t>Netflix Original Story 2182</t>
  </si>
  <si>
    <t>Netflix Original Story 0426</t>
  </si>
  <si>
    <t>Netflix Original Story 1196</t>
  </si>
  <si>
    <t>Netflix Original Story 0086</t>
  </si>
  <si>
    <t>Netflix Original Story 2809</t>
  </si>
  <si>
    <t>Netflix Original Story 1710</t>
  </si>
  <si>
    <t>Netflix Original Story 2869</t>
  </si>
  <si>
    <t>Netflix Original Story 2609</t>
  </si>
  <si>
    <t>Netflix Original Story 0445</t>
  </si>
  <si>
    <t>Netflix Original Story 1135</t>
  </si>
  <si>
    <t>Netflix Original Story 1507</t>
  </si>
  <si>
    <t>Netflix Original Story 1751</t>
  </si>
  <si>
    <t>Netflix Original Story 2749</t>
  </si>
  <si>
    <t>Netflix Original Story 1438</t>
  </si>
  <si>
    <t>Netflix Original Story 1715</t>
  </si>
  <si>
    <t>Netflix Original Story 1879</t>
  </si>
  <si>
    <t>Netflix Original Story 0064</t>
  </si>
  <si>
    <t>Netflix Original Story 2972</t>
  </si>
  <si>
    <t>Netflix Original Story 2788</t>
  </si>
  <si>
    <t>Netflix Original Story 2162</t>
  </si>
  <si>
    <t>Netflix Original Story 2725</t>
  </si>
  <si>
    <t>Netflix Original Story 1391</t>
  </si>
  <si>
    <t>Netflix Original Story 0914</t>
  </si>
  <si>
    <t>Netflix Original Story 0459</t>
  </si>
  <si>
    <t>Netflix Original Story 2843</t>
  </si>
  <si>
    <t>Netflix Original Story 1597</t>
  </si>
  <si>
    <t>Netflix Original Story 1801</t>
  </si>
  <si>
    <t>Netflix Original Story 0758</t>
  </si>
  <si>
    <t>Netflix Original Story 2591</t>
  </si>
  <si>
    <t>Netflix Original Story 0421</t>
  </si>
  <si>
    <t>Netflix Original Story 2881</t>
  </si>
  <si>
    <t>Netflix Original Story 2288</t>
  </si>
  <si>
    <t>Netflix Original Story 1235</t>
  </si>
  <si>
    <t>Netflix Original Story 1015</t>
  </si>
  <si>
    <t>Netflix Original Story 0407</t>
  </si>
  <si>
    <t>Netflix Original Story 2923</t>
  </si>
  <si>
    <t>Netflix Original Story 0053</t>
  </si>
  <si>
    <t>Netflix Original Story 2141</t>
  </si>
  <si>
    <t>Netflix Original Story 0842</t>
  </si>
  <si>
    <t>Netflix Original Story 1764</t>
  </si>
  <si>
    <t>Netflix Original Story 1517</t>
  </si>
  <si>
    <t>Netflix Original Story 1256</t>
  </si>
  <si>
    <t>Netflix Original Story 0964</t>
  </si>
  <si>
    <t>Netflix Original Story 0377</t>
  </si>
  <si>
    <t>Netflix Original Story 2861</t>
  </si>
  <si>
    <t>Netflix Original Story 0209</t>
  </si>
  <si>
    <t>Netflix Original Story 1803</t>
  </si>
  <si>
    <t>Netflix Original Story 2208</t>
  </si>
  <si>
    <t>Netflix Original Story 0343</t>
  </si>
  <si>
    <t>Netflix Original Story 2942</t>
  </si>
  <si>
    <t>Netflix Original Story 2248</t>
  </si>
  <si>
    <t>Netflix Original Story 2065</t>
  </si>
  <si>
    <t>Netflix Original Story 2563</t>
  </si>
  <si>
    <t>Netflix Original Story 0736</t>
  </si>
  <si>
    <t>Netflix Original Story 0608</t>
  </si>
  <si>
    <t>Netflix Original Story 0796</t>
  </si>
  <si>
    <t>Netflix Original Story 2147</t>
  </si>
  <si>
    <t>Netflix Original Story 0273</t>
  </si>
  <si>
    <t>Netflix Original Story 1585</t>
  </si>
  <si>
    <t>Netflix Original Story 2340</t>
  </si>
  <si>
    <t>Netflix Original Story 0107</t>
  </si>
  <si>
    <t>Netflix Original Story 1252</t>
  </si>
  <si>
    <t>Netflix Original Story 1484</t>
  </si>
  <si>
    <t>Netflix Original Story 1112</t>
  </si>
  <si>
    <t>Netflix Original Story 2953</t>
  </si>
  <si>
    <t>Netflix Original Story 1273</t>
  </si>
  <si>
    <t>Outer Banks</t>
  </si>
  <si>
    <t>Netflix Original Story 1254</t>
  </si>
  <si>
    <t>Netflix Original Story 1377</t>
  </si>
  <si>
    <t>Netflix Original Story 0565</t>
  </si>
  <si>
    <t>Netflix Original Story 1524</t>
  </si>
  <si>
    <t>Netflix Original Story 0333</t>
  </si>
  <si>
    <t>Netflix Original Story 2339</t>
  </si>
  <si>
    <t>Netflix Original Story 2754</t>
  </si>
  <si>
    <t>Netflix Original Story 2000</t>
  </si>
  <si>
    <t>Netflix Original Story 1038</t>
  </si>
  <si>
    <t>Netflix Original Story 1018</t>
  </si>
  <si>
    <t>Netflix Original Story 0691</t>
  </si>
  <si>
    <t>Netflix Original Story 1057</t>
  </si>
  <si>
    <t>Netflix Original Story 0740</t>
  </si>
  <si>
    <t>Netflix Original Story 2323</t>
  </si>
  <si>
    <t>Netflix Original Story 0710</t>
  </si>
  <si>
    <t>Netflix Original Story 0889</t>
  </si>
  <si>
    <t>Netflix Original Story 2087</t>
  </si>
  <si>
    <t>Netflix Original Story 0629</t>
  </si>
  <si>
    <t>Netflix Original Story 2782</t>
  </si>
  <si>
    <t>Netflix Original Story 0395</t>
  </si>
  <si>
    <t>Netflix Original Story 1705</t>
  </si>
  <si>
    <t>Netflix Original Story 2195</t>
  </si>
  <si>
    <t>Netflix Original Story 1906</t>
  </si>
  <si>
    <t>Netflix Original Story 1519</t>
  </si>
  <si>
    <t>Netflix Original Story 2291</t>
  </si>
  <si>
    <t>Netflix Original Story 2901</t>
  </si>
  <si>
    <t>Netflix Original Story 0994</t>
  </si>
  <si>
    <t>Netflix Original Story 1101</t>
  </si>
  <si>
    <t>Netflix Original Story 2399</t>
  </si>
  <si>
    <t>Netflix Original Story 2215</t>
  </si>
  <si>
    <t>Netflix Original Story 0947</t>
  </si>
  <si>
    <t>Netflix Original Story 2393</t>
  </si>
  <si>
    <t>Netflix Original Story 0339</t>
  </si>
  <si>
    <t>Netflix Original Story 1772</t>
  </si>
  <si>
    <t>Netflix Original Story 0330</t>
  </si>
  <si>
    <t>Netflix Original Story 1445</t>
  </si>
  <si>
    <t>Netflix Original Story 1950</t>
  </si>
  <si>
    <t>Netflix Original Story 0978</t>
  </si>
  <si>
    <t>Netflix Original Story 2285</t>
  </si>
  <si>
    <t>Netflix Original Story 1016</t>
  </si>
  <si>
    <t>Netflix Original Story 1634</t>
  </si>
  <si>
    <t>Netflix Original Story 0290</t>
  </si>
  <si>
    <t>Netflix Original Story 0505</t>
  </si>
  <si>
    <t>Netflix Original Story 0946</t>
  </si>
  <si>
    <t>Netflix Original Story 1119</t>
  </si>
  <si>
    <t>Netflix Original Story 0473</t>
  </si>
  <si>
    <t>Netflix Original Story 2275</t>
  </si>
  <si>
    <t>Netflix Original Story 2157</t>
  </si>
  <si>
    <t>Netflix Original Story 2771</t>
  </si>
  <si>
    <t>Netflix Original Story 0467</t>
  </si>
  <si>
    <t>Netflix Original Story 1897</t>
  </si>
  <si>
    <t>Netflix Original Story 1233</t>
  </si>
  <si>
    <t>Netflix Original Story 1427</t>
  </si>
  <si>
    <t>Netflix Original Story 0659</t>
  </si>
  <si>
    <t>Netflix Original Story 2960</t>
  </si>
  <si>
    <t>Netflix Original Story 0100</t>
  </si>
  <si>
    <t>Netflix Original Story 2542</t>
  </si>
  <si>
    <t>Netflix Original Story 2716</t>
  </si>
  <si>
    <t>Netflix Original Story 1603</t>
  </si>
  <si>
    <t>Netflix Original Story 0316</t>
  </si>
  <si>
    <t>Netflix Original Story 1447</t>
  </si>
  <si>
    <t>Netflix Original Story 1742</t>
  </si>
  <si>
    <t>Netflix Original Story 2058</t>
  </si>
  <si>
    <t>Netflix Original Story 2074</t>
  </si>
  <si>
    <t>Netflix Original Story 1719</t>
  </si>
  <si>
    <t>Netflix Original Story 1402</t>
  </si>
  <si>
    <t>Netflix Original Story 2889</t>
  </si>
  <si>
    <t>Netflix Original Story 1080</t>
  </si>
  <si>
    <t>Netflix Original Story 2020</t>
  </si>
  <si>
    <t>Netflix Original Story 0728</t>
  </si>
  <si>
    <t>Netflix Original Story 0134</t>
  </si>
  <si>
    <t>Netflix Original Story 0196</t>
  </si>
  <si>
    <t>Netflix Original Story 0373</t>
  </si>
  <si>
    <t>Netflix Original Story 2584</t>
  </si>
  <si>
    <t>Netflix Original Story 0506</t>
  </si>
  <si>
    <t>Netflix Original Story 1173</t>
  </si>
  <si>
    <t>Netflix Original Story 1686</t>
  </si>
  <si>
    <t>Netflix Original Story 2577</t>
  </si>
  <si>
    <t>Netflix Original Story 0875</t>
  </si>
  <si>
    <t>Mismatched</t>
  </si>
  <si>
    <t>Netflix Original Story 1878</t>
  </si>
  <si>
    <t>Netflix Original Story 1786</t>
  </si>
  <si>
    <t>Netflix Original Story 0079</t>
  </si>
  <si>
    <t>Netflix Original Story 1185</t>
  </si>
  <si>
    <t>Netflix Original Story 1665</t>
  </si>
  <si>
    <t>Netflix Original Story 2286</t>
  </si>
  <si>
    <t>Netflix Original Story 1669</t>
  </si>
  <si>
    <t>Netflix Original Story 1839</t>
  </si>
  <si>
    <t>Netflix Original Story 1744</t>
  </si>
  <si>
    <t>Netflix Original Story 2151</t>
  </si>
  <si>
    <t>Netflix Original Story 1596</t>
  </si>
  <si>
    <t>Netflix Original Story 0433</t>
  </si>
  <si>
    <t>Netflix Original Story 1330</t>
  </si>
  <si>
    <t>Netflix Original Story 2608</t>
  </si>
  <si>
    <t>Netflix Original Story 1689</t>
  </si>
  <si>
    <t>Netflix Original Story 0614</t>
  </si>
  <si>
    <t>Netflix Original Story 1819</t>
  </si>
  <si>
    <t>Netflix Original Story 2703</t>
  </si>
  <si>
    <t>Netflix Original Story 1086</t>
  </si>
  <si>
    <t>Netflix Original Story 1232</t>
  </si>
  <si>
    <t>Netflix Original Story 2750</t>
  </si>
  <si>
    <t>Netflix Original Story 1915</t>
  </si>
  <si>
    <t>Netflix Original Story 2684</t>
  </si>
  <si>
    <t>Netflix Original Story 0591</t>
  </si>
  <si>
    <t>Netflix Original Story 1900</t>
  </si>
  <si>
    <t>Netflix Original Story 0819</t>
  </si>
  <si>
    <t>Netflix Original Story 2918</t>
  </si>
  <si>
    <t>Netflix Original Story 1926</t>
  </si>
  <si>
    <t>Netflix Original Story 1696</t>
  </si>
  <si>
    <t>Netflix Original Story 2941</t>
  </si>
  <si>
    <t>Netflix Original Story 1434</t>
  </si>
  <si>
    <t>Netflix Original Story 1160</t>
  </si>
  <si>
    <t>Netflix Original Story 0882</t>
  </si>
  <si>
    <t>Netflix Original Story 0684</t>
  </si>
  <si>
    <t>Netflix Original Story 1920</t>
  </si>
  <si>
    <t>Netflix Original Story 0745</t>
  </si>
  <si>
    <t>Netflix Original Story 2784</t>
  </si>
  <si>
    <t>Netflix Original Story 2175</t>
  </si>
  <si>
    <t>Netflix Original Story 2113</t>
  </si>
  <si>
    <t>Netflix Original Story 2649</t>
  </si>
  <si>
    <t>Netflix Original Story 0161</t>
  </si>
  <si>
    <t>Netflix Original Story 0622</t>
  </si>
  <si>
    <t>Netflix Original Story 2090</t>
  </si>
  <si>
    <t>Netflix Original Story 1399</t>
  </si>
  <si>
    <t>Netflix Original Story 0887</t>
  </si>
  <si>
    <t>Netflix Original Story 1056</t>
  </si>
  <si>
    <t>Netflix Original Story 1204</t>
  </si>
  <si>
    <t>Netflix Original Story 0767</t>
  </si>
  <si>
    <t>Netflix Original Story 1266</t>
  </si>
  <si>
    <t>Netflix Original Story 2696</t>
  </si>
  <si>
    <t>Netflix Original Story 1541</t>
  </si>
  <si>
    <t>Netflix Original Story 0778</t>
  </si>
  <si>
    <t>Netflix Original Story 2245</t>
  </si>
  <si>
    <t>Netflix Original Story 1225</t>
  </si>
  <si>
    <t>Netflix Original Story 1036</t>
  </si>
  <si>
    <t>Netflix Original Story 2140</t>
  </si>
  <si>
    <t>Netflix Original Story 1065</t>
  </si>
  <si>
    <t>Netflix Original Story 2926</t>
  </si>
  <si>
    <t>Netflix Original Story 0833</t>
  </si>
  <si>
    <t>Netflix Original Story 0987</t>
  </si>
  <si>
    <t>Netflix Original Story 2866</t>
  </si>
  <si>
    <t>Netflix Original Story 0080</t>
  </si>
  <si>
    <t>Netflix Original Story 1743</t>
  </si>
  <si>
    <t>Netflix Original Story 1024</t>
  </si>
  <si>
    <t>Netflix Original Story 2415</t>
  </si>
  <si>
    <t>Netflix Original Story 2810</t>
  </si>
  <si>
    <t>Netflix Original Story 0798</t>
  </si>
  <si>
    <t>Netflix Original Story 2078</t>
  </si>
  <si>
    <t>Netflix Original Story 1363</t>
  </si>
  <si>
    <t>Netflix Original Story 2827</t>
  </si>
  <si>
    <t>Netflix Original Story 1195</t>
  </si>
  <si>
    <t>Netflix Original Story 0299</t>
  </si>
  <si>
    <t>Netflix Original Story 2939</t>
  </si>
  <si>
    <t>Netflix Original Story 2699</t>
  </si>
  <si>
    <t>Netflix Original Story 1913</t>
  </si>
  <si>
    <t>Netflix Original Story 0406</t>
  </si>
  <si>
    <t>Netflix Original Story 2125</t>
  </si>
  <si>
    <t>Netflix Original Story 2059</t>
  </si>
  <si>
    <t>Netflix Original Story 0979</t>
  </si>
  <si>
    <t>Netflix Original Story 2656</t>
  </si>
  <si>
    <t>Netflix Original Story 0885</t>
  </si>
  <si>
    <t>Netflix Original Story 0135</t>
  </si>
  <si>
    <t>Netflix Original Story 2178</t>
  </si>
  <si>
    <t>Netflix Original Story 2705</t>
  </si>
  <si>
    <t>Netflix Original Story 2659</t>
  </si>
  <si>
    <t>Netflix Original Story 2736</t>
  </si>
  <si>
    <t>Netflix Original Story 2071</t>
  </si>
  <si>
    <t>Netflix Original Story 1494</t>
  </si>
  <si>
    <t>Netflix Original Story 0440</t>
  </si>
  <si>
    <t>Netflix Original Story 0937</t>
  </si>
  <si>
    <t>Netflix Original Story 1816</t>
  </si>
  <si>
    <t>Netflix Original Story 0624</t>
  </si>
  <si>
    <t>Netflix Original Story 2691</t>
  </si>
  <si>
    <t>Netflix Original Story 0695</t>
  </si>
  <si>
    <t>Netflix Original Story 2088</t>
  </si>
  <si>
    <t>Netflix Original Story 0404</t>
  </si>
  <si>
    <t>Netflix Original Story 2576</t>
  </si>
  <si>
    <t>Netflix Original Story 0553</t>
  </si>
  <si>
    <t>FUBAR</t>
  </si>
  <si>
    <t>Netflix Original Story 0227</t>
  </si>
  <si>
    <t>Netflix Original Story 0223</t>
  </si>
  <si>
    <t>Netflix Original Story 2933</t>
  </si>
  <si>
    <t>Netflix Original Story 1123</t>
  </si>
  <si>
    <t>Netflix Original Story 2473</t>
  </si>
  <si>
    <t>Netflix Original Story 1405</t>
  </si>
  <si>
    <t>Netflix Original Story 0313</t>
  </si>
  <si>
    <t>Netflix Original Story 0376</t>
  </si>
  <si>
    <t>Netflix Original Story 2019</t>
  </si>
  <si>
    <t>Netflix Original Story 2572</t>
  </si>
  <si>
    <t>Netflix Original Story 2692</t>
  </si>
  <si>
    <t>Netflix Original Story 0489</t>
  </si>
  <si>
    <t>Netflix Original Story 0807</t>
  </si>
  <si>
    <t>Netflix Original Story 0499</t>
  </si>
  <si>
    <t>Netflix Original Story 1822</t>
  </si>
  <si>
    <t>Netflix Original Story 1571</t>
  </si>
  <si>
    <t>Netflix Original Story 0675</t>
  </si>
  <si>
    <t>Netflix Original Story 0648</t>
  </si>
  <si>
    <t>Netflix Original Story 1081</t>
  </si>
  <si>
    <t>Netflix Original Story 1577</t>
  </si>
  <si>
    <t>Netflix Original Story 0090</t>
  </si>
  <si>
    <t>Netflix Original Story 2448</t>
  </si>
  <si>
    <t>Netflix Original Story 2225</t>
  </si>
  <si>
    <t>Netflix Original Story 2407</t>
  </si>
  <si>
    <t>Netflix Original Story 1508</t>
  </si>
  <si>
    <t>Netflix Original Story 0446</t>
  </si>
  <si>
    <t>Netflix Original Story 2655</t>
  </si>
  <si>
    <t>Netflix Original Story 0868</t>
  </si>
  <si>
    <t>Netflix Original Story 2444</t>
  </si>
  <si>
    <t>Netflix Original Story 2063</t>
  </si>
  <si>
    <t>Netflix Original Story 2769</t>
  </si>
  <si>
    <t>Netflix Original Story 1390</t>
  </si>
  <si>
    <t>Netflix Original Story 0753</t>
  </si>
  <si>
    <t>Netflix Original Story 0265</t>
  </si>
  <si>
    <t>Netflix Original Story 2022</t>
  </si>
  <si>
    <t>Netflix Original Story 1745</t>
  </si>
  <si>
    <t>Netflix Original Story 2732</t>
  </si>
  <si>
    <t>Netflix Original Story 2556</t>
  </si>
  <si>
    <t>Netflix Original Story 2167</t>
  </si>
  <si>
    <t>Netflix Original Story 0672</t>
  </si>
  <si>
    <t>Netflix Original Story 0084</t>
  </si>
  <si>
    <t>Netflix Original Story 0226</t>
  </si>
  <si>
    <t>Netflix Original Story 2805</t>
  </si>
  <si>
    <t>Netflix Original Story 2265</t>
  </si>
  <si>
    <t>Netflix Original Story 2029</t>
  </si>
  <si>
    <t>Netflix Original Story 0635</t>
  </si>
  <si>
    <t>Netflix Original Story 2320</t>
  </si>
  <si>
    <t>Netflix Original Story 2373</t>
  </si>
  <si>
    <t>Netflix Original Story 2804</t>
  </si>
  <si>
    <t>Netflix Original Story 2731</t>
  </si>
  <si>
    <t>Lupin</t>
  </si>
  <si>
    <t>Netflix Original Story 0252</t>
  </si>
  <si>
    <t>Netflix Original Story 2752</t>
  </si>
  <si>
    <t>Netflix Original Story 0386</t>
  </si>
  <si>
    <t>Netflix Original Story 1413</t>
  </si>
  <si>
    <t>Netflix Original Story 1344</t>
  </si>
  <si>
    <t>Netflix Original Story 0958</t>
  </si>
  <si>
    <t>Netflix Original Story 0749</t>
  </si>
  <si>
    <t>Netflix Original Story 0589</t>
  </si>
  <si>
    <t>Netflix Original Story 0498</t>
  </si>
  <si>
    <t>Netflix Original Story 1929</t>
  </si>
  <si>
    <t>Netflix Original Story 1850</t>
  </si>
  <si>
    <t>Netflix Original Story 0310</t>
  </si>
  <si>
    <t>Netflix Original Story 1857</t>
  </si>
  <si>
    <t>Netflix Original Story 1257</t>
  </si>
  <si>
    <t>Netflix Original Story 2832</t>
  </si>
  <si>
    <t>Netflix Original Story 2447</t>
  </si>
  <si>
    <t>Netflix Original Story 2663</t>
  </si>
  <si>
    <t>Netflix Original Story 0169</t>
  </si>
  <si>
    <t>Netflix Original Story 0289</t>
  </si>
  <si>
    <t>Netflix Original Story 1010</t>
  </si>
  <si>
    <t>Netflix Original Story 0285</t>
  </si>
  <si>
    <t>Netflix Original Story 1469</t>
  </si>
  <si>
    <t>Netflix Original Story 1441</t>
  </si>
  <si>
    <t>Netflix Original Story 1976</t>
  </si>
  <si>
    <t>Netflix Original Story 0108</t>
  </si>
  <si>
    <t>Netflix Original Story 2136</t>
  </si>
  <si>
    <t>Netflix Original Story 1095</t>
  </si>
  <si>
    <t>Netflix Original Story 1555</t>
  </si>
  <si>
    <t>Netflix Original Story 0783</t>
  </si>
  <si>
    <t>Netflix Original Story 2839</t>
  </si>
  <si>
    <t>Netflix Original Story 2867</t>
  </si>
  <si>
    <t>Netflix Original Story 1323</t>
  </si>
  <si>
    <t>Netflix Original Story 2632</t>
  </si>
  <si>
    <t>Netflix Original Story 1539</t>
  </si>
  <si>
    <t>Netflix Original Story 2533</t>
  </si>
  <si>
    <t>Netflix Original Story 2853</t>
  </si>
  <si>
    <t>Netflix Original Story 2227</t>
  </si>
  <si>
    <t>Netflix Original Story 0934</t>
  </si>
  <si>
    <t>Netflix Original Story 0702</t>
  </si>
  <si>
    <t>Netflix Original Story 1697</t>
  </si>
  <si>
    <t>Netflix Original Story 2213</t>
  </si>
  <si>
    <t>Netflix Original Story 0230</t>
  </si>
  <si>
    <t>Netflix Original Story 1300</t>
  </si>
  <si>
    <t>Netflix Original Story 2249</t>
  </si>
  <si>
    <t>Netflix Original Story 1928</t>
  </si>
  <si>
    <t>Netflix Original Story 1373</t>
  </si>
  <si>
    <t>Netflix Original Story 0451</t>
  </si>
  <si>
    <t>Netflix Original Story 0960</t>
  </si>
  <si>
    <t>Netflix Original Story 1353</t>
  </si>
  <si>
    <t>Netflix Original Story 0628</t>
  </si>
  <si>
    <t>Netflix Original Story 2938</t>
  </si>
  <si>
    <t>Netflix Original Story 1910</t>
  </si>
  <si>
    <t>Netflix Original Story 2112</t>
  </si>
  <si>
    <t>Netflix Original Story 2753</t>
  </si>
  <si>
    <t>Netflix Original Story 1347</t>
  </si>
  <si>
    <t>Netflix Original Story 0587</t>
  </si>
  <si>
    <t>Netflix Original Story 0703</t>
  </si>
  <si>
    <t>Netflix Original Story 2536</t>
  </si>
  <si>
    <t>Netflix Original Story 0786</t>
  </si>
  <si>
    <t>Made in Heaven</t>
  </si>
  <si>
    <t>Netflix Original Story 1026</t>
  </si>
  <si>
    <t>Netflix Original Story 2677</t>
  </si>
  <si>
    <t>Netflix Original Story 2341</t>
  </si>
  <si>
    <t>Netflix Original Story 1859</t>
  </si>
  <si>
    <t>Netflix Original Story 2325</t>
  </si>
  <si>
    <t>Netflix Original Story 0919</t>
  </si>
  <si>
    <t>Netflix Original Story 2478</t>
  </si>
  <si>
    <t>Netflix Original Story 0359</t>
  </si>
  <si>
    <t>Netflix Original Story 1061</t>
  </si>
  <si>
    <t>Netflix Original Story 2893</t>
  </si>
  <si>
    <t>Netflix Original Story 1022</t>
  </si>
  <si>
    <t>Netflix Original Story 0281</t>
  </si>
  <si>
    <t>Netflix Original Story 1961</t>
  </si>
  <si>
    <t>Netflix Original Story 0067</t>
  </si>
  <si>
    <t>Netflix Original Story 2092</t>
  </si>
  <si>
    <t>Netflix Original Story 0294</t>
  </si>
  <si>
    <t>Netflix Original Story 1295</t>
  </si>
  <si>
    <t>Netflix Original Story 0633</t>
  </si>
  <si>
    <t>Netflix Original Story 0200</t>
  </si>
  <si>
    <t>Netflix Original Story 0862</t>
  </si>
  <si>
    <t>Netflix Original Story 2944</t>
  </si>
  <si>
    <t>Netflix Original Story 0690</t>
  </si>
  <si>
    <t>Netflix Original Story 0741</t>
  </si>
  <si>
    <t>Netflix Original Story 2924</t>
  </si>
  <si>
    <t>Netflix Original Story 0391</t>
  </si>
  <si>
    <t>Netflix Original Story 0575</t>
  </si>
  <si>
    <t>Netflix Original Story 0061</t>
  </si>
  <si>
    <t>Netflix Original Story 2990</t>
  </si>
  <si>
    <t>Netflix Original Story 0988</t>
  </si>
  <si>
    <t>The Railway Men</t>
  </si>
  <si>
    <t>Netflix Original Story 2146</t>
  </si>
  <si>
    <t>Netflix Original Story 1609</t>
  </si>
  <si>
    <t>Netflix Original Story 2396</t>
  </si>
  <si>
    <t>Netflix Original Story 2398</t>
  </si>
  <si>
    <t>Netflix Original Story 0991</t>
  </si>
  <si>
    <t>Netflix Original Story 0580</t>
  </si>
  <si>
    <t>Netflix Original Story 1506</t>
  </si>
  <si>
    <t>Netflix Original Story 1009</t>
  </si>
  <si>
    <t>Netflix Original Story 0360</t>
  </si>
  <si>
    <t>Netflix Original Story 0387</t>
  </si>
  <si>
    <t>Netflix Original Story 0054</t>
  </si>
  <si>
    <t>Netflix Original Story 2773</t>
  </si>
  <si>
    <t>Netflix Original Story 1949</t>
  </si>
  <si>
    <t>Netflix Original Story 0936</t>
  </si>
  <si>
    <t>Netflix Original Story 1501</t>
  </si>
  <si>
    <t>Netflix Original Story 0340</t>
  </si>
  <si>
    <t>Netflix Original Story 0174</t>
  </si>
  <si>
    <t>Netflix Original Story 1477</t>
  </si>
  <si>
    <t>Netflix Original Story 2404</t>
  </si>
  <si>
    <t>Netflix Original Story 0456</t>
  </si>
  <si>
    <t>Netflix Original Story 2044</t>
  </si>
  <si>
    <t>Netflix Original Story 0481</t>
  </si>
  <si>
    <t>Netflix Original Story 1046</t>
  </si>
  <si>
    <t>Netflix Original Story 0319</t>
  </si>
  <si>
    <t>Netflix Original Story 2983</t>
  </si>
  <si>
    <t>Netflix Original Story 1509</t>
  </si>
  <si>
    <t>Netflix Original Story 2350</t>
  </si>
  <si>
    <t>Netflix Original Story 0354</t>
  </si>
  <si>
    <t>Netflix Original Story 2937</t>
  </si>
  <si>
    <t>Netflix Original Story 1381</t>
  </si>
  <si>
    <t>Netflix Original Story 1752</t>
  </si>
  <si>
    <t>Netflix Original Story 0283</t>
  </si>
  <si>
    <t>Netflix Original Story 1326</t>
  </si>
  <si>
    <t>Netflix Original Story 0596</t>
  </si>
  <si>
    <t>Netflix Original Story 2104</t>
  </si>
  <si>
    <t>Netflix Original Story 0674</t>
  </si>
  <si>
    <t>Netflix Original Story 2952</t>
  </si>
  <si>
    <t>Netflix Original Story 2994</t>
  </si>
  <si>
    <t>Netflix Original Story 0336</t>
  </si>
  <si>
    <t>Netflix Original Story 0249</t>
  </si>
  <si>
    <t>Netflix Original Story 1854</t>
  </si>
  <si>
    <t>Netflix Original Story 2173</t>
  </si>
  <si>
    <t>Netflix Original Story 0400</t>
  </si>
  <si>
    <t>Netflix Original Story 0680</t>
  </si>
  <si>
    <t>You</t>
  </si>
  <si>
    <t>Netflix Original Story 1924</t>
  </si>
  <si>
    <t>Netflix Original Story 0144</t>
  </si>
  <si>
    <t>Netflix Original Story 0153</t>
  </si>
  <si>
    <t>Netflix Original Story 2028</t>
  </si>
  <si>
    <t>Netflix Original Story 0795</t>
  </si>
  <si>
    <t>Netflix Original Story 2416</t>
  </si>
  <si>
    <t>Netflix Original Story 0561</t>
  </si>
  <si>
    <t>Netflix Original Story 2183</t>
  </si>
  <si>
    <t>Netflix Original Story 2668</t>
  </si>
  <si>
    <t>Netflix Original Story 0126</t>
  </si>
  <si>
    <t>Netflix Original Story 1298</t>
  </si>
  <si>
    <t>Netflix Original Story 1895</t>
  </si>
  <si>
    <t>Netflix Original Story 2382</t>
  </si>
  <si>
    <t>Stranger Things</t>
  </si>
  <si>
    <t>Netflix Original Story 0337</t>
  </si>
  <si>
    <t>Netflix Original Story 2909</t>
  </si>
  <si>
    <t>Netflix Original Story 1849</t>
  </si>
  <si>
    <t>Netflix Original Story 1407</t>
  </si>
  <si>
    <t>Netflix Original Story 2694</t>
  </si>
  <si>
    <t>Netflix Original Story 2314</t>
  </si>
  <si>
    <t>Netflix Original Story 0779</t>
  </si>
  <si>
    <t>Netflix Original Story 1037</t>
  </si>
  <si>
    <t>Netflix Original Story 0673</t>
  </si>
  <si>
    <t>Netflix Original Story 0578</t>
  </si>
  <si>
    <t>Netflix Original Story 0631</t>
  </si>
  <si>
    <t>Netflix Original Story 0759</t>
  </si>
  <si>
    <t>Netflix Original Story 0851</t>
  </si>
  <si>
    <t>Netflix Original Story 1931</t>
  </si>
  <si>
    <t>Netflix Original Story 1417</t>
  </si>
  <si>
    <t>Netflix Original Story 1292</t>
  </si>
  <si>
    <t>Netflix Original Story 0463</t>
  </si>
  <si>
    <t>Netflix Original Story 1064</t>
  </si>
  <si>
    <t>Netflix Original Story 2701</t>
  </si>
  <si>
    <t>Netflix Original Story 2957</t>
  </si>
  <si>
    <t>Netflix Original Story 0671</t>
  </si>
  <si>
    <t>Netflix Original Story 1908</t>
  </si>
  <si>
    <t>Netflix Original Story 2246</t>
  </si>
  <si>
    <t>Netflix Original Story 1944</t>
  </si>
  <si>
    <t>Netflix Original Story 1704</t>
  </si>
  <si>
    <t>Netflix Original Story 2266</t>
  </si>
  <si>
    <t>Netflix Original Story 1832</t>
  </si>
  <si>
    <t>Netflix Original Story 1461</t>
  </si>
  <si>
    <t>Netflix Original Story 1217</t>
  </si>
  <si>
    <t>Netflix Original Story 2279</t>
  </si>
  <si>
    <t>Netflix Original Story 1724</t>
  </si>
  <si>
    <t>Netflix Original Story 1314</t>
  </si>
  <si>
    <t>Netflix Original Story 1142</t>
  </si>
  <si>
    <t>Netflix Original Story 2743</t>
  </si>
  <si>
    <t>Netflix Original Story 1290</t>
  </si>
  <si>
    <t>Netflix Original Story 0170</t>
  </si>
  <si>
    <t>Netflix Original Story 0594</t>
  </si>
  <si>
    <t>Netflix Original Story 2745</t>
  </si>
  <si>
    <t>Netflix Original Story 2330</t>
  </si>
  <si>
    <t>Netflix Original Story 1098</t>
  </si>
  <si>
    <t>Netflix Original Story 0214</t>
  </si>
  <si>
    <t>Netflix Original Story 1565</t>
  </si>
  <si>
    <t>Netflix Original Story 0060</t>
  </si>
  <si>
    <t>Netflix Original Story 0540</t>
  </si>
  <si>
    <t>Netflix Original Story 1333</t>
  </si>
  <si>
    <t>Netflix Original Story 0641</t>
  </si>
  <si>
    <t>Netflix Original Story 1526</t>
  </si>
  <si>
    <t>Netflix Original Story 0735</t>
  </si>
  <si>
    <t>Netflix Original Story 2011</t>
  </si>
  <si>
    <t>Netflix Original Story 2565</t>
  </si>
  <si>
    <t>Netflix Original Story 1797</t>
  </si>
  <si>
    <t>Netflix Original Story 1808</t>
  </si>
  <si>
    <t>Netflix Original Story 0999</t>
  </si>
  <si>
    <t>Netflix Original Story 1794</t>
  </si>
  <si>
    <t>Netflix Original Story 0599</t>
  </si>
  <si>
    <t>Netflix Original Story 2780</t>
  </si>
  <si>
    <t>Khakee: The Bihar Chapter</t>
  </si>
  <si>
    <t>Netflix Original Story 2204</t>
  </si>
  <si>
    <t>Netflix Original Story 1523</t>
  </si>
  <si>
    <t>Netflix Original Story 1979</t>
  </si>
  <si>
    <t>Netflix Original Story 1662</t>
  </si>
  <si>
    <t>Netflix Original Story 1336</t>
  </si>
  <si>
    <t>Netflix Original Story 2043</t>
  </si>
  <si>
    <t>Netflix Original Story 1424</t>
  </si>
  <si>
    <t>Netflix Original Story 2575</t>
  </si>
  <si>
    <t>Netflix Original Story 1097</t>
  </si>
  <si>
    <t>Netflix Original Story 1426</t>
  </si>
  <si>
    <t>Netflix Original Story 2205</t>
  </si>
  <si>
    <t>Netflix Original Story 1228</t>
  </si>
  <si>
    <t>Netflix Original Story 1275</t>
  </si>
  <si>
    <t>Netflix Original Story 0923</t>
  </si>
  <si>
    <t>Netflix Original Story 2643</t>
  </si>
  <si>
    <t>Netflix Original Story 1747</t>
  </si>
  <si>
    <t>Netflix Original Story 2120</t>
  </si>
  <si>
    <t>Netflix Original Story 2378</t>
  </si>
  <si>
    <t>Netflix Original Story 1612</t>
  </si>
  <si>
    <t>Netflix Original Story 2209</t>
  </si>
  <si>
    <t>Netflix Original Story 2408</t>
  </si>
  <si>
    <t>Netflix Original Story 2738</t>
  </si>
  <si>
    <t>Netflix Original Story 1563</t>
  </si>
  <si>
    <t>Netflix Original Story 0162</t>
  </si>
  <si>
    <t>Netflix Original Story 2280</t>
  </si>
  <si>
    <t>Netflix Original Story 1691</t>
  </si>
  <si>
    <t>Netflix Original Story 0901</t>
  </si>
  <si>
    <t>Netflix Original Story 2454</t>
  </si>
  <si>
    <t>Netflix Original Story 2269</t>
  </si>
  <si>
    <t>Netflix Original Story 0896</t>
  </si>
  <si>
    <t>Netflix Original Story 1835</t>
  </si>
  <si>
    <t>Netflix Original Story 0835</t>
  </si>
  <si>
    <t>Netflix Original Story 1287</t>
  </si>
  <si>
    <t>Netflix Original Story 0713</t>
  </si>
  <si>
    <t>Netflix Original Story 2971</t>
  </si>
  <si>
    <t>Netflix Original Story 0812</t>
  </si>
  <si>
    <t>Netflix Original Story 1188</t>
  </si>
  <si>
    <t>Netflix Original Story 2375</t>
  </si>
  <si>
    <t>Netflix Original Story 1810</t>
  </si>
  <si>
    <t>Netflix Original Story 2353</t>
  </si>
  <si>
    <t>Netflix Original Story 2002</t>
  </si>
  <si>
    <t>Netflix Original Story 2779</t>
  </si>
  <si>
    <t>Netflix Original Story 2864</t>
  </si>
  <si>
    <t>Netflix Original Story 2303</t>
  </si>
  <si>
    <t>Netflix Original Story 0430</t>
  </si>
  <si>
    <t>Netflix Original Story 2254</t>
  </si>
  <si>
    <t>Netflix Original Story 0883</t>
  </si>
  <si>
    <t>Netflix Original Story 0133</t>
  </si>
  <si>
    <t>Netflix Original Story 1387</t>
  </si>
  <si>
    <t>Netflix Original Story 2018</t>
  </si>
  <si>
    <t>Manifest</t>
  </si>
  <si>
    <t>Netflix Original Story 1452</t>
  </si>
  <si>
    <t>Netflix Original Story 0128</t>
  </si>
  <si>
    <t>Netflix Original Story 1125</t>
  </si>
  <si>
    <t>Netflix Original Story 0784</t>
  </si>
  <si>
    <t>Cobra Kai</t>
  </si>
  <si>
    <t>Netflix Original Story 1653</t>
  </si>
  <si>
    <t>Netflix Original Story 1727</t>
  </si>
  <si>
    <t>Netflix Original Story 0870</t>
  </si>
  <si>
    <t>Netflix Original Story 0620</t>
  </si>
  <si>
    <t>Netflix Original Story 0363</t>
  </si>
  <si>
    <t>Netflix Original Story 1175</t>
  </si>
  <si>
    <t>Netflix Original Story 2017</t>
  </si>
  <si>
    <t>Netflix Original Story 0568</t>
  </si>
  <si>
    <t>Netflix Original Story 1021</t>
  </si>
  <si>
    <t>Netflix Original Story 2604</t>
  </si>
  <si>
    <t>Killer Soup</t>
  </si>
  <si>
    <t>Netflix Original Story 2015</t>
  </si>
  <si>
    <t>Netflix Original Story 2553</t>
  </si>
  <si>
    <t>Netflix Original Story 0416</t>
  </si>
  <si>
    <t>Netflix Original Story 2977</t>
  </si>
  <si>
    <t>The Umbrella Academy</t>
  </si>
  <si>
    <t>Netflix Original Story 2292</t>
  </si>
  <si>
    <t>Netflix Original Story 2555</t>
  </si>
  <si>
    <t>Netflix Original Story 1582</t>
  </si>
  <si>
    <t>Netflix Original Story 1340</t>
  </si>
  <si>
    <t>Netflix Original Story 2391</t>
  </si>
  <si>
    <t>Netflix Original Story 0253</t>
  </si>
  <si>
    <t>Netflix Original Story 1020</t>
  </si>
  <si>
    <t>Netflix Original Story 2793</t>
  </si>
  <si>
    <t>Netflix Original Story 1858</t>
  </si>
  <si>
    <t>Netflix Original Story 1898</t>
  </si>
  <si>
    <t>Netflix Original Story 1969</t>
  </si>
  <si>
    <t>Netflix Original Story 0393</t>
  </si>
  <si>
    <t>Netflix Original Story 2075</t>
  </si>
  <si>
    <t>Netflix Original Story 2438</t>
  </si>
  <si>
    <t>Netflix Original Story 1868</t>
  </si>
  <si>
    <t>Netflix Original Story 1578</t>
  </si>
  <si>
    <t>Netflix Original Story 1595</t>
  </si>
  <si>
    <t>Netflix Original Story 2230</t>
  </si>
  <si>
    <t>Netflix Original Story 0600</t>
  </si>
  <si>
    <t>Netflix Original Story 0371</t>
  </si>
  <si>
    <t>Netflix Original Story 1620</t>
  </si>
  <si>
    <t>Sex Education</t>
  </si>
  <si>
    <t>Netflix Original Story 0268</t>
  </si>
  <si>
    <t>Netflix Original Story 1455</t>
  </si>
  <si>
    <t>Netflix Original Story 2540</t>
  </si>
  <si>
    <t>Netflix Original Story 0409</t>
  </si>
  <si>
    <t>Netflix Original Story 0055</t>
  </si>
  <si>
    <t>Netflix Original Story 0470</t>
  </si>
  <si>
    <t>Netflix Original Story 1594</t>
  </si>
  <si>
    <t>Netflix Original Story 1954</t>
  </si>
  <si>
    <t>Netflix Original Story 2777</t>
  </si>
  <si>
    <t>Netflix Original Story 1762</t>
  </si>
  <si>
    <t>Netflix Original Story 0163</t>
  </si>
  <si>
    <t>Netflix Original Story 1151</t>
  </si>
  <si>
    <t>Netflix Original Story 1842</t>
  </si>
  <si>
    <t>Netflix Original Story 1207</t>
  </si>
  <si>
    <t>Netflix Original Story 2756</t>
  </si>
  <si>
    <t>Netflix Original Story 2548</t>
  </si>
  <si>
    <t>Netflix Original Story 0243</t>
  </si>
  <si>
    <t>Netflix Original Story 1159</t>
  </si>
  <si>
    <t>Netflix Original Story 2083</t>
  </si>
  <si>
    <t>Netflix Original Story 2338</t>
  </si>
  <si>
    <t>Netflix Original Story 2614</t>
  </si>
  <si>
    <t>Netflix Original Story 2297</t>
  </si>
  <si>
    <t>Netflix Original Story 1365</t>
  </si>
  <si>
    <t>Netflix Original Story 0598</t>
  </si>
  <si>
    <t>Netflix Original Story 2748</t>
  </si>
  <si>
    <t>Netflix Original Story 0132</t>
  </si>
  <si>
    <t>Netflix Original Story 2510</t>
  </si>
  <si>
    <t>Netflix Original Story 0092</t>
  </si>
  <si>
    <t>Netflix Original Story 1813</t>
  </si>
  <si>
    <t>Netflix Original Story 1115</t>
  </si>
  <si>
    <t>Netflix Original Story 1616</t>
  </si>
  <si>
    <t>Netflix Original Story 1983</t>
  </si>
  <si>
    <t>Netflix Original Story 0217</t>
  </si>
  <si>
    <t>Netflix Original Story 2233</t>
  </si>
  <si>
    <t>Netflix Original Story 2507</t>
  </si>
  <si>
    <t>Netflix Original Story 1482</t>
  </si>
  <si>
    <t>Netflix Original Story 2899</t>
  </si>
  <si>
    <t>Netflix Original Story 2870</t>
  </si>
  <si>
    <t>Netflix Original Story 0781</t>
  </si>
  <si>
    <t>Netflix Original Story 1234</t>
  </si>
  <si>
    <t>Netflix Original Story 2927</t>
  </si>
  <si>
    <t>Netflix Original Story 2992</t>
  </si>
  <si>
    <t>Netflix Original Story 2242</t>
  </si>
  <si>
    <t>Netflix Original Story 2790</t>
  </si>
  <si>
    <t>Netflix Original Story 2720</t>
  </si>
  <si>
    <t>Netflix Original Story 0271</t>
  </si>
  <si>
    <t>Netflix Original Story 2907</t>
  </si>
  <si>
    <t>Netflix Original Story 0951</t>
  </si>
  <si>
    <t>Netflix Original Story 1615</t>
  </si>
  <si>
    <t>Netflix Original Story 0619</t>
  </si>
  <si>
    <t>Netflix Original Story 0990</t>
  </si>
  <si>
    <t>Netflix Original Story 2837</t>
  </si>
  <si>
    <t>Netflix Original Story 0190</t>
  </si>
  <si>
    <t>Netflix Original Story 1058</t>
  </si>
  <si>
    <t>Netflix Original Story 1498</t>
  </si>
  <si>
    <t>Netflix Original Story 1921</t>
  </si>
  <si>
    <t>Netflix Original Story 0308</t>
  </si>
  <si>
    <t>Netflix Original Story 2521</t>
  </si>
  <si>
    <t>Netflix Original Story 2651</t>
  </si>
  <si>
    <t>Netflix Original Story 1109</t>
  </si>
  <si>
    <t>Netflix Original Story 0645</t>
  </si>
  <si>
    <t>Netflix Original Story 1645</t>
  </si>
  <si>
    <t>Netflix Original Story 1532</t>
  </si>
  <si>
    <t>Netflix Original Story 0259</t>
  </si>
  <si>
    <t>Netflix Original Story 2530</t>
  </si>
  <si>
    <t>Netflix Original Story 2244</t>
  </si>
  <si>
    <t>Netflix Original Story 1293</t>
  </si>
  <si>
    <t>Netflix Original Story 1312</t>
  </si>
  <si>
    <t>Netflix Original Story 2016</t>
  </si>
  <si>
    <t>Netflix Original Story 1448</t>
  </si>
  <si>
    <t>Netflix Original Story 2253</t>
  </si>
  <si>
    <t>Netflix Original Story 2343</t>
  </si>
  <si>
    <t>Netflix Original Story 0572</t>
  </si>
  <si>
    <t>Netflix Original Story 2551</t>
  </si>
  <si>
    <t>Netflix Original Story 1286</t>
  </si>
  <si>
    <t>Netflix Original Story 1518</t>
  </si>
  <si>
    <t>Netflix Original Story 2206</t>
  </si>
  <si>
    <t>Netflix Original Story 2036</t>
  </si>
  <si>
    <t>Netflix Original Story 2145</t>
  </si>
  <si>
    <t>Netflix Original Story 1542</t>
  </si>
  <si>
    <t>Netflix Original Story 1139</t>
  </si>
  <si>
    <t>Netflix Original Story 2456</t>
  </si>
  <si>
    <t>Netflix Original Story 2959</t>
  </si>
  <si>
    <t>Netflix Original Story 1953</t>
  </si>
  <si>
    <t>Netflix Original Story 0347</t>
  </si>
  <si>
    <t>Netflix Original Story 1132</t>
  </si>
  <si>
    <t>Netflix Original Story 2268</t>
  </si>
  <si>
    <t>Netflix Original Story 2111</t>
  </si>
  <si>
    <t>Netflix Original Story 1619</t>
  </si>
  <si>
    <t>Netflix Original Story 2851</t>
  </si>
  <si>
    <t>Netflix Original Story 0388</t>
  </si>
  <si>
    <t>Netflix Original Story 2442</t>
  </si>
  <si>
    <t>Netflix Original Story 2821</t>
  </si>
  <si>
    <t>Netflix Original Story 2098</t>
  </si>
  <si>
    <t>Netflix Original Story 1820</t>
  </si>
  <si>
    <t>Netflix Original Story 0396</t>
  </si>
  <si>
    <t>Netflix Original Story 2426</t>
  </si>
  <si>
    <t>Netflix Original Story 0116</t>
  </si>
  <si>
    <t>Netflix Original Story 1626</t>
  </si>
  <si>
    <t>Netflix Original Story 1687</t>
  </si>
  <si>
    <t>Netflix Original Story 0886</t>
  </si>
  <si>
    <t>Netflix Original Story 2794</t>
  </si>
  <si>
    <t>Netflix Original Story 2601</t>
  </si>
  <si>
    <t>Dark</t>
  </si>
  <si>
    <t>Netflix Original Story 2163</t>
  </si>
  <si>
    <t>Netflix Original Story 2484</t>
  </si>
  <si>
    <t>Netflix Original Story 2168</t>
  </si>
  <si>
    <t>Netflix Original Story 0582</t>
  </si>
  <si>
    <t>Netflix Original Story 0974</t>
  </si>
  <si>
    <t>Netflix Original Story 2464</t>
  </si>
  <si>
    <t>Netflix Original Story 2800</t>
  </si>
  <si>
    <t>Netflix Original Story 0320</t>
  </si>
  <si>
    <t>Netflix Original Story 2185</t>
  </si>
  <si>
    <t>Netflix Original Story 2987</t>
  </si>
  <si>
    <t>Netflix Original Story 1613</t>
  </si>
  <si>
    <t>Netflix Original Story 2770</t>
  </si>
  <si>
    <t>Netflix Original Story 2072</t>
  </si>
  <si>
    <t>Netflix Original Story 1783</t>
  </si>
  <si>
    <t>Netflix Original Story 2231</t>
  </si>
  <si>
    <t>Netflix Original Story 2717</t>
  </si>
  <si>
    <t>Netflix Original Story 2494</t>
  </si>
  <si>
    <t>Netflix Original Story 2211</t>
  </si>
  <si>
    <t>Netflix Original Story 2459</t>
  </si>
  <si>
    <t>Netflix Original Story 2589</t>
  </si>
  <si>
    <t>Netflix Original Story 1467</t>
  </si>
  <si>
    <t>Netflix Original Story 1349</t>
  </si>
  <si>
    <t>Netflix Original Story 1242</t>
  </si>
  <si>
    <t>Netflix Original Story 0899</t>
  </si>
  <si>
    <t>Netflix Original Story 0280</t>
  </si>
  <si>
    <t>Netflix Original Story 0677</t>
  </si>
  <si>
    <t>Netflix Original Story 0520</t>
  </si>
  <si>
    <t>Netflix Original Story 0606</t>
  </si>
  <si>
    <t>Netflix Original Story 0145</t>
  </si>
  <si>
    <t>Netflix Original Story 0725</t>
  </si>
  <si>
    <t>Netflix Original Story 2981</t>
  </si>
  <si>
    <t>Netflix Original Story 1588</t>
  </si>
  <si>
    <t>Netflix Original Story 1827</t>
  </si>
  <si>
    <t>Netflix Original Story 1215</t>
  </si>
  <si>
    <t>Netflix Original Story 1690</t>
  </si>
  <si>
    <t>Netflix Original Story 1059</t>
  </si>
  <si>
    <t>Netflix Original Story 0358</t>
  </si>
  <si>
    <t>Netflix Original Story 0739</t>
  </si>
  <si>
    <t>Netflix Original Story 1737</t>
  </si>
  <si>
    <t>Netflix Original Story 1967</t>
  </si>
  <si>
    <t>Netflix Original Story 0794</t>
  </si>
  <si>
    <t>Netflix Original Story 1087</t>
  </si>
  <si>
    <t>Netflix Original Story 0103</t>
  </si>
  <si>
    <t>Netflix Original Story 0455</t>
  </si>
  <si>
    <t>Netflix Original Story 0683</t>
  </si>
  <si>
    <t>Netflix Original Story 2421</t>
  </si>
  <si>
    <t>Netflix Original Story 0282</t>
  </si>
  <si>
    <t>Netflix Original Story 1911</t>
  </si>
  <si>
    <t>Netflix Original Story 0216</t>
  </si>
  <si>
    <t>Netflix Original Story 1607</t>
  </si>
  <si>
    <t>Netflix Original Story 2675</t>
  </si>
  <si>
    <t>Netflix Original Story 0992</t>
  </si>
  <si>
    <t>Netflix Original Story 2948</t>
  </si>
  <si>
    <t>Netflix Original Story 0059</t>
  </si>
  <si>
    <t>Netflix Original Story 2499</t>
  </si>
  <si>
    <t>Netflix Original Story 1322</t>
  </si>
  <si>
    <t>Netflix Original Story 1459</t>
  </si>
  <si>
    <t>Netflix Original Story 2910</t>
  </si>
  <si>
    <t>Netflix Original Story 0617</t>
  </si>
  <si>
    <t>Netflix Original Story 0496</t>
  </si>
  <si>
    <t>Netflix Original Story 1574</t>
  </si>
  <si>
    <t>Netflix Original Story 2819</t>
  </si>
  <si>
    <t>Netflix Original Story 2329</t>
  </si>
  <si>
    <t>Netflix Original Story 0867</t>
  </si>
  <si>
    <t>Netflix Original Story 1267</t>
  </si>
  <si>
    <t>Netflix Original Story 1481</t>
  </si>
  <si>
    <t>Netflix Original Story 2106</t>
  </si>
  <si>
    <t>Netflix Original Story 2946</t>
  </si>
  <si>
    <t>Delhi Crime</t>
  </si>
  <si>
    <t>Netflix Original Story 0752</t>
  </si>
  <si>
    <t>Netflix Original Story 1171</t>
  </si>
  <si>
    <t>Vikings</t>
  </si>
  <si>
    <t>Netflix Original Story 1401</t>
  </si>
  <si>
    <t>Netflix Original Story 0471</t>
  </si>
  <si>
    <t>Netflix Original Story 2045</t>
  </si>
  <si>
    <t>Netflix Original Story 0612</t>
  </si>
  <si>
    <t>Netflix Original Story 0638</t>
  </si>
  <si>
    <t>Netflix Original Story 0577</t>
  </si>
  <si>
    <t>Netflix Original Story 2179</t>
  </si>
  <si>
    <t>Netflix Original Story 1536</t>
  </si>
  <si>
    <t>Netflix Original Story 0141</t>
  </si>
  <si>
    <t>Netflix Original Story 0714</t>
  </si>
  <si>
    <t>Netflix Original Story 1673</t>
  </si>
  <si>
    <t>Netflix Original Story 1516</t>
  </si>
  <si>
    <t>Netflix Original Story 2593</t>
  </si>
  <si>
    <t>Netflix Original Story 2596</t>
  </si>
  <si>
    <t>Netflix Original Story 1308</t>
  </si>
  <si>
    <t>Netflix Original Story 0948</t>
  </si>
  <si>
    <t>Netflix Original Story 1892</t>
  </si>
  <si>
    <t>Netflix Original Story 1294</t>
  </si>
  <si>
    <t>Netflix Original Story 1779</t>
  </si>
  <si>
    <t>Netflix Original Story 1031</t>
  </si>
  <si>
    <t>Netflix Original Story 2128</t>
  </si>
  <si>
    <t>Netflix Original Story 0586</t>
  </si>
  <si>
    <t>Netflix Original Story 1584</t>
  </si>
  <si>
    <t>Netflix Original Story 2093</t>
  </si>
  <si>
    <t>Netflix Original Story 0142</t>
  </si>
  <si>
    <t>Netflix Original Story 0668</t>
  </si>
  <si>
    <t>Netflix Original Story 0841</t>
  </si>
  <si>
    <t>Netflix Original Story 0655</t>
  </si>
  <si>
    <t>Bridgerton</t>
  </si>
  <si>
    <t>Netflix Original Story 2306</t>
  </si>
  <si>
    <t>Netflix Original Story 1100</t>
  </si>
  <si>
    <t>Netflix Original Story 0348</t>
  </si>
  <si>
    <t>Netflix Original Story 1824</t>
  </si>
  <si>
    <t>Netflix Original Story 2462</t>
  </si>
  <si>
    <t>Netflix Original Story 0125</t>
  </si>
  <si>
    <t>Netflix Original Story 2301</t>
  </si>
  <si>
    <t>Netflix Original Story 1936</t>
  </si>
  <si>
    <t>Netflix Original Story 0701</t>
  </si>
  <si>
    <t>Netflix Original Story 2005</t>
  </si>
  <si>
    <t>Netflix Original Story 1014</t>
  </si>
  <si>
    <t>Netflix Original Story 2961</t>
  </si>
  <si>
    <t>Netflix Original Story 0667</t>
  </si>
  <si>
    <t>Netflix Original Story 0905</t>
  </si>
  <si>
    <t>Netflix Original Story 0177</t>
  </si>
  <si>
    <t>Netflix Original Story 2713</t>
  </si>
  <si>
    <t>Netflix Original Story 0708</t>
  </si>
  <si>
    <t>Netflix Original Story 0114</t>
  </si>
  <si>
    <t>Netflix Original Story 1547</t>
  </si>
  <si>
    <t>Netflix Original Story 0364</t>
  </si>
  <si>
    <t>Netflix Original Story 1218</t>
  </si>
  <si>
    <t>Netflix Original Story 1940</t>
  </si>
  <si>
    <t>Netflix Original Story 0062</t>
  </si>
  <si>
    <t>Netflix Original Story 2903</t>
  </si>
  <si>
    <t>Netflix Original Story 1291</t>
  </si>
  <si>
    <t>Netflix Original Story 1903</t>
  </si>
  <si>
    <t>Netflix Original Story 1957</t>
  </si>
  <si>
    <t>Netflix Original Story 1544</t>
  </si>
  <si>
    <t>Netflix Original Story 1572</t>
  </si>
  <si>
    <t>Netflix Original Story 2453</t>
  </si>
  <si>
    <t>Netflix Original Story 0197</t>
  </si>
  <si>
    <t>The Queen's Gambit</t>
  </si>
  <si>
    <t>Netflix Original Story 2004</t>
  </si>
  <si>
    <t>Netflix Original Story 2824</t>
  </si>
  <si>
    <t>Netflix Original Story 2673</t>
  </si>
  <si>
    <t>Netflix Original Story 1863</t>
  </si>
  <si>
    <t>Netflix Original Story 1716</t>
  </si>
  <si>
    <t>Netflix Original Story 0797</t>
  </si>
  <si>
    <t>Netflix Original Story 1864</t>
  </si>
  <si>
    <t>Netflix Original Story 1640</t>
  </si>
  <si>
    <t>Netflix Original Story 2250</t>
  </si>
  <si>
    <t>Netflix Original Story 2052</t>
  </si>
  <si>
    <t>Netflix Original Story 0911</t>
  </si>
  <si>
    <t>Netflix Original Story 2518</t>
  </si>
  <si>
    <t>Netflix Original Story 1279</t>
  </si>
  <si>
    <t>Netflix Original Story 1593</t>
  </si>
  <si>
    <t>Netflix Original Story 0766</t>
  </si>
  <si>
    <t>Netflix Original Story 1846</t>
  </si>
  <si>
    <t>Netflix Original Story 2332</t>
  </si>
  <si>
    <t>Netflix Original Story 1968</t>
  </si>
  <si>
    <t>Netflix Original Story 0632</t>
  </si>
  <si>
    <t>Netflix Original Story 2483</t>
  </si>
  <si>
    <t>Netflix Original Story 2226</t>
  </si>
  <si>
    <t>Netflix Original Story 1502</t>
  </si>
  <si>
    <t>Netflix Original Story 0775</t>
  </si>
  <si>
    <t>Netflix Original Story 0434</t>
  </si>
  <si>
    <t>Netflix Original Story 2155</t>
  </si>
  <si>
    <t>Netflix Original Story 1341</t>
  </si>
  <si>
    <t>Netflix Original Story 1873</t>
  </si>
  <si>
    <t>Netflix Original Story 0975</t>
  </si>
  <si>
    <t>Netflix Original Story 0627</t>
  </si>
  <si>
    <t>Netflix Original Story 1817</t>
  </si>
  <si>
    <t>Netflix Original Story 1245</t>
  </si>
  <si>
    <t>Netflix Original Story 1282</t>
  </si>
  <si>
    <t>Netflix Original Story 2616</t>
  </si>
  <si>
    <t>Netflix Original Story 0168</t>
  </si>
  <si>
    <t>Netflix Original Story 2461</t>
  </si>
  <si>
    <t>Netflix Original Story 2153</t>
  </si>
  <si>
    <t>Netflix Original Story 0539</t>
  </si>
  <si>
    <t>Netflix Original Story 1821</t>
  </si>
  <si>
    <t>Netflix Original Story 1030</t>
  </si>
  <si>
    <t>Netflix Original Story 0549</t>
  </si>
  <si>
    <t>Netflix Original Story 1992</t>
  </si>
  <si>
    <t>Netflix Original Story 0127</t>
  </si>
  <si>
    <t>Netflix Original Story 1515</t>
  </si>
  <si>
    <t>Netflix Original Story 2418</t>
  </si>
  <si>
    <t>Netflix Original Story 2634</t>
  </si>
  <si>
    <t>Netflix Original Story 1529</t>
  </si>
  <si>
    <t>Netflix Original Story 0845</t>
  </si>
  <si>
    <t>Netflix Original Story 0182</t>
  </si>
  <si>
    <t>Movie</t>
  </si>
  <si>
    <t>Series</t>
  </si>
  <si>
    <t>content_type</t>
  </si>
  <si>
    <t>TOTAL_WATCH_TIME</t>
  </si>
  <si>
    <t>avg_watch_time</t>
  </si>
  <si>
    <t>GAMING CONSOLE</t>
  </si>
  <si>
    <t>LAPTOP</t>
  </si>
  <si>
    <t>SMART TV</t>
  </si>
  <si>
    <t>TABLET</t>
  </si>
  <si>
    <t xml:space="preserve">Device_type </t>
  </si>
  <si>
    <t>null</t>
  </si>
  <si>
    <t>agr_bucket</t>
  </si>
  <si>
    <t>total_watch_time</t>
  </si>
  <si>
    <t>% wath_time</t>
  </si>
  <si>
    <t>No</t>
  </si>
  <si>
    <t>Yes</t>
  </si>
  <si>
    <t>recommandation_shown</t>
  </si>
  <si>
    <t>cnt</t>
  </si>
  <si>
    <t>%view_count</t>
  </si>
  <si>
    <t>% watch_time</t>
  </si>
  <si>
    <t>recommendation_clicked</t>
  </si>
  <si>
    <t>CTR</t>
  </si>
  <si>
    <t>Chargeback</t>
  </si>
  <si>
    <t>Failed</t>
  </si>
  <si>
    <t>Paid</t>
  </si>
  <si>
    <t>Refunded</t>
  </si>
  <si>
    <t>payment_status</t>
  </si>
  <si>
    <t>recv</t>
  </si>
  <si>
    <t>NETFLIX BUSINESS PERFORMANCE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</si>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</sst>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2" borderId="0" xfId="0" applyFill="1"/>
    <xf numFmtId="9" fontId="0" fillId="0" borderId="0" xfId="0" applyNumberFormat="1"/>
    <xf numFmtId="9" fontId="0" fillId="0" borderId="0" xfId="1" applyFont="1"/>
    <xf numFmtId="0" fontId="0" fillId="3" borderId="0" xfId="0" applyFill="1"/>
    <xf numFmtId="10" fontId="0" fillId="0" borderId="0" xfId="1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0" fillId="7" borderId="0" xfId="1" applyFont="1" applyFill="1"/>
    <xf numFmtId="0" fontId="0" fillId="8" borderId="0" xfId="0" applyFill="1"/>
    <xf numFmtId="9" fontId="0" fillId="8" borderId="0" xfId="1" applyFont="1" applyFill="1"/>
    <xf numFmtId="0" fontId="2" fillId="9" borderId="0" xfId="0" applyFont="1" applyFill="1"/>
    <xf numFmtId="0" fontId="3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1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50914"/>
      <color rgb="FF141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gENEDER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E50914"/>
            </a:solidFill>
          </c:spPr>
          <c:dPt>
            <c:idx val="0"/>
            <c:bubble3D val="0"/>
            <c:spPr>
              <a:solidFill>
                <a:srgbClr val="E5091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C2-46F5-9DF1-5100544B2AE0}"/>
              </c:ext>
            </c:extLst>
          </c:dPt>
          <c:dPt>
            <c:idx val="1"/>
            <c:bubble3D val="0"/>
            <c:spPr>
              <a:solidFill>
                <a:srgbClr val="E5091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C2-46F5-9DF1-5100544B2AE0}"/>
              </c:ext>
            </c:extLst>
          </c:dPt>
          <c:dPt>
            <c:idx val="2"/>
            <c:bubble3D val="0"/>
            <c:spPr>
              <a:solidFill>
                <a:srgbClr val="E5091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C2-46F5-9DF1-5100544B2AE0}"/>
              </c:ext>
            </c:extLst>
          </c:dPt>
          <c:dLbls>
            <c:dLbl>
              <c:idx val="0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2C2-46F5-9DF1-5100544B2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Analysis'!$F$2:$F$4</c:f>
              <c:strCache>
                <c:ptCount val="3"/>
                <c:pt idx="0">
                  <c:v>Male</c:v>
                </c:pt>
                <c:pt idx="1">
                  <c:v>Non-binary</c:v>
                </c:pt>
                <c:pt idx="2">
                  <c:v>Female</c:v>
                </c:pt>
              </c:strCache>
            </c:strRef>
          </c:cat>
          <c:val>
            <c:numRef>
              <c:f>'Customer Analysis'!$G$2:$G$4</c:f>
              <c:numCache>
                <c:formatCode>General</c:formatCode>
                <c:ptCount val="3"/>
                <c:pt idx="0">
                  <c:v>28760</c:v>
                </c:pt>
                <c:pt idx="1">
                  <c:v>2419</c:v>
                </c:pt>
                <c:pt idx="2">
                  <c:v>28821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C2-46F5-9DF1-5100544B2A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TOP</a:t>
            </a:r>
            <a:r>
              <a:rPr lang="en-IN" baseline="0">
                <a:solidFill>
                  <a:schemeClr val="bg1"/>
                </a:solidFill>
              </a:rPr>
              <a:t> COUNTRIES </a:t>
            </a:r>
          </a:p>
          <a:p>
            <a:pPr>
              <a:defRPr/>
            </a:pP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42655991384981889"/>
          <c:y val="3.1708276618595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50914"/>
            </a:solidFill>
            <a:ln>
              <a:noFill/>
            </a:ln>
            <a:effectLst/>
          </c:spPr>
          <c:invertIfNegative val="0"/>
          <c:cat>
            <c:strRef>
              <c:f>'Customer Analysis'!$I$2:$I$19</c:f>
              <c:strCache>
                <c:ptCount val="18"/>
                <c:pt idx="0">
                  <c:v>Spain</c:v>
                </c:pt>
                <c:pt idx="1">
                  <c:v>IND</c:v>
                </c:pt>
                <c:pt idx="2">
                  <c:v>Italy</c:v>
                </c:pt>
                <c:pt idx="3">
                  <c:v>UAE</c:v>
                </c:pt>
                <c:pt idx="4">
                  <c:v>US</c:v>
                </c:pt>
                <c:pt idx="5">
                  <c:v>India</c:v>
                </c:pt>
                <c:pt idx="6">
                  <c:v>USA</c:v>
                </c:pt>
                <c:pt idx="7">
                  <c:v>France</c:v>
                </c:pt>
                <c:pt idx="8">
                  <c:v>United Kingdom</c:v>
                </c:pt>
                <c:pt idx="9">
                  <c:v>Mexico</c:v>
                </c:pt>
                <c:pt idx="10">
                  <c:v>Brazil</c:v>
                </c:pt>
                <c:pt idx="11">
                  <c:v>UK</c:v>
                </c:pt>
                <c:pt idx="12">
                  <c:v>Australia</c:v>
                </c:pt>
                <c:pt idx="13">
                  <c:v>Germany</c:v>
                </c:pt>
                <c:pt idx="14">
                  <c:v>Japan</c:v>
                </c:pt>
                <c:pt idx="15">
                  <c:v>Singapore</c:v>
                </c:pt>
                <c:pt idx="16">
                  <c:v>Canada</c:v>
                </c:pt>
                <c:pt idx="17">
                  <c:v>South Korea</c:v>
                </c:pt>
              </c:strCache>
            </c:strRef>
          </c:cat>
          <c:val>
            <c:numRef>
              <c:f>'Customer Analysis'!$J$2:$J$19</c:f>
              <c:numCache>
                <c:formatCode>General</c:formatCode>
                <c:ptCount val="18"/>
                <c:pt idx="0">
                  <c:v>4009</c:v>
                </c:pt>
                <c:pt idx="1">
                  <c:v>142</c:v>
                </c:pt>
                <c:pt idx="2">
                  <c:v>4030</c:v>
                </c:pt>
                <c:pt idx="3">
                  <c:v>4090</c:v>
                </c:pt>
                <c:pt idx="4">
                  <c:v>161</c:v>
                </c:pt>
                <c:pt idx="5">
                  <c:v>3955</c:v>
                </c:pt>
                <c:pt idx="6">
                  <c:v>3866</c:v>
                </c:pt>
                <c:pt idx="7">
                  <c:v>3990</c:v>
                </c:pt>
                <c:pt idx="8">
                  <c:v>162</c:v>
                </c:pt>
                <c:pt idx="9">
                  <c:v>3900</c:v>
                </c:pt>
                <c:pt idx="10">
                  <c:v>3942</c:v>
                </c:pt>
                <c:pt idx="11">
                  <c:v>3811</c:v>
                </c:pt>
                <c:pt idx="12">
                  <c:v>3995</c:v>
                </c:pt>
                <c:pt idx="13">
                  <c:v>3996</c:v>
                </c:pt>
                <c:pt idx="14">
                  <c:v>4168</c:v>
                </c:pt>
                <c:pt idx="15">
                  <c:v>3977</c:v>
                </c:pt>
                <c:pt idx="16">
                  <c:v>3896</c:v>
                </c:pt>
                <c:pt idx="17">
                  <c:v>3910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5-4F8E-9F9C-23A57FD4C5F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88415"/>
        <c:axId val="25056735"/>
      </c:barChart>
      <c:catAx>
        <c:axId val="250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6735"/>
        <c:crosses val="autoZero"/>
        <c:auto val="1"/>
        <c:lblAlgn val="ctr"/>
        <c:lblOffset val="100"/>
        <c:noMultiLvlLbl val="0"/>
      </c:catAx>
      <c:valAx>
        <c:axId val="25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8415"/>
        <c:crosses val="autoZero"/>
        <c:crossBetween val="between"/>
      </c:valAx>
      <c:spPr>
        <a:solidFill>
          <a:srgbClr val="141414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PLAN</a:t>
            </a:r>
            <a:r>
              <a:rPr lang="en-IN" baseline="0">
                <a:solidFill>
                  <a:schemeClr val="bg1"/>
                </a:solidFill>
              </a:rPr>
              <a:t> SHARE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50914"/>
            </a:solidFill>
            <a:ln>
              <a:noFill/>
            </a:ln>
            <a:effectLst/>
          </c:spPr>
          <c:invertIfNegative val="0"/>
          <c:cat>
            <c:strRef>
              <c:f>'Subscription &amp; Revenue Analysis'!$N$2:$N$5</c:f>
              <c:strCache>
                <c:ptCount val="4"/>
                <c:pt idx="0">
                  <c:v>BASIC</c:v>
                </c:pt>
                <c:pt idx="1">
                  <c:v>MOBILE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'Subscription &amp; Revenue Analysis'!$O$2:$O$5</c:f>
              <c:numCache>
                <c:formatCode>General</c:formatCode>
                <c:ptCount val="4"/>
                <c:pt idx="0">
                  <c:v>13676</c:v>
                </c:pt>
                <c:pt idx="1">
                  <c:v>13645</c:v>
                </c:pt>
                <c:pt idx="2">
                  <c:v>13815</c:v>
                </c:pt>
                <c:pt idx="3">
                  <c:v>13920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1DA-ACB2-39AAF3A1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02127"/>
        <c:axId val="138902607"/>
      </c:barChart>
      <c:catAx>
        <c:axId val="1389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2607"/>
        <c:crosses val="autoZero"/>
        <c:auto val="1"/>
        <c:lblAlgn val="ctr"/>
        <c:lblOffset val="100"/>
        <c:noMultiLvlLbl val="0"/>
      </c:catAx>
      <c:valAx>
        <c:axId val="1389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228601</xdr:colOff>
      <xdr:row>3</xdr:row>
      <xdr:rowOff>106680</xdr:rowOff>
    </xdr:from>
    <xdr:to>
      <xdr:col>3</xdr:col>
      <xdr:colOff>533400</xdr:colOff>
      <xdr:row>7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372B9B1-EB2B-1457-9583-FF5EC1B80386}"/>
            </a:ext>
          </a:extLst>
        </xdr:cNvPr>
        <xdr:cNvSpPr/>
      </xdr:nvSpPr>
      <xdr:spPr>
        <a:xfrm>
          <a:off x="228601" y="655320"/>
          <a:ext cx="2133599" cy="76962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TOTAL</a:t>
          </a:r>
          <a:r>
            <a:rPr lang="en-US" sz="1200" b="1" baseline="0">
              <a:solidFill>
                <a:schemeClr val="bg1"/>
              </a:solidFill>
            </a:rPr>
            <a:t> ACTIVE SUBSCRIBERS</a:t>
          </a:r>
          <a:endParaRPr lang="en-US" sz="1200" b="1">
            <a:solidFill>
              <a:schemeClr val="bg1"/>
            </a:solidFill>
          </a:endParaRPr>
        </a:p>
        <a:p>
          <a:pPr algn="l"/>
          <a:r>
            <a:rPr lang="en-US" sz="2000" b="1">
              <a:solidFill>
                <a:schemeClr val="bg1"/>
              </a:solidFill>
            </a:rPr>
            <a:t>60000</a:t>
          </a:r>
        </a:p>
      </xdr:txBody>
    </xdr:sp>
    <xdr:clientData/>
  </xdr:twoCellAnchor>
  <xdr:twoCellAnchor>
    <xdr:from>
      <xdr:col>4</xdr:col>
      <xdr:colOff>30480</xdr:colOff>
      <xdr:row>3</xdr:row>
      <xdr:rowOff>129540</xdr:rowOff>
    </xdr:from>
    <xdr:to>
      <xdr:col>7</xdr:col>
      <xdr:colOff>335279</xdr:colOff>
      <xdr:row>7</xdr:row>
      <xdr:rowOff>167640</xdr:rowOff>
    </xdr:to>
    <xdr:sp macro="" textlink="'Subscription &amp; Revenue Analysis'!R2">
      <xdr:nvSpPr>
        <xdr:cNvPr id="18" name="Rectangle: Rounded Corners 17">
          <a:extLst>
            <a:ext uri="{FF2B5EF4-FFF2-40B4-BE49-F238E27FC236}">
              <a16:creationId xmlns:a16="http://schemas.microsoft.com/office/drawing/2014/main" id="{FB4AEE8F-E264-49E0-A548-FF743122216B}"/>
            </a:ext>
          </a:extLst>
        </xdr:cNvPr>
        <xdr:cNvSpPr/>
      </xdr:nvSpPr>
      <xdr:spPr>
        <a:xfrm>
          <a:off x="2468880" y="678180"/>
          <a:ext cx="2133599" cy="76962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AVERAGE REVENUE</a:t>
          </a:r>
          <a:r>
            <a:rPr lang="en-US" sz="11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PER USER</a:t>
          </a:r>
          <a:endParaRPr lang="en-US" sz="11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l"/>
          <a:fld id="{F52FBD5C-40D0-4D7F-A74C-DA3014B4A091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572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457200</xdr:colOff>
      <xdr:row>3</xdr:row>
      <xdr:rowOff>106680</xdr:rowOff>
    </xdr:from>
    <xdr:to>
      <xdr:col>11</xdr:col>
      <xdr:colOff>152399</xdr:colOff>
      <xdr:row>7</xdr:row>
      <xdr:rowOff>144780</xdr:rowOff>
    </xdr:to>
    <xdr:sp macro="" textlink="'Subscription &amp; Revenue Analysis'!F29">
      <xdr:nvSpPr>
        <xdr:cNvPr id="19" name="Rectangle: Rounded Corners 18">
          <a:extLst>
            <a:ext uri="{FF2B5EF4-FFF2-40B4-BE49-F238E27FC236}">
              <a16:creationId xmlns:a16="http://schemas.microsoft.com/office/drawing/2014/main" id="{E2C3F65E-32C3-4973-8298-8CBDF1ABDCE1}"/>
            </a:ext>
          </a:extLst>
        </xdr:cNvPr>
        <xdr:cNvSpPr/>
      </xdr:nvSpPr>
      <xdr:spPr>
        <a:xfrm>
          <a:off x="4724400" y="655320"/>
          <a:ext cx="2133599" cy="76962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MONTHLY RECURRING REVENUE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</a:t>
          </a:r>
          <a:fld id="{660AD8F0-9E56-4E25-BB8F-15A89D87B829}" type="TxLink">
            <a:rPr lang="en-US" sz="2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314532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281940</xdr:colOff>
      <xdr:row>3</xdr:row>
      <xdr:rowOff>106680</xdr:rowOff>
    </xdr:from>
    <xdr:to>
      <xdr:col>14</xdr:col>
      <xdr:colOff>586739</xdr:colOff>
      <xdr:row>7</xdr:row>
      <xdr:rowOff>144780</xdr:rowOff>
    </xdr:to>
    <xdr:sp macro="" textlink="'Subscription &amp; Revenue Analysis'!O4">
      <xdr:nvSpPr>
        <xdr:cNvPr id="20" name="Rectangle: Rounded Corners 19">
          <a:extLst>
            <a:ext uri="{FF2B5EF4-FFF2-40B4-BE49-F238E27FC236}">
              <a16:creationId xmlns:a16="http://schemas.microsoft.com/office/drawing/2014/main" id="{A596D410-D089-4B1C-A64B-8861DDA3FAF0}"/>
            </a:ext>
          </a:extLst>
        </xdr:cNvPr>
        <xdr:cNvSpPr/>
      </xdr:nvSpPr>
      <xdr:spPr>
        <a:xfrm>
          <a:off x="6987540" y="655320"/>
          <a:ext cx="2133599" cy="76962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NEW SUBSCRIBERS</a:t>
          </a:r>
        </a:p>
        <a:p>
          <a:pPr algn="l"/>
          <a:fld id="{DCB50DE6-6FEC-48FB-8A1E-498896386A36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13815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106680</xdr:colOff>
      <xdr:row>3</xdr:row>
      <xdr:rowOff>91440</xdr:rowOff>
    </xdr:from>
    <xdr:to>
      <xdr:col>18</xdr:col>
      <xdr:colOff>411479</xdr:colOff>
      <xdr:row>7</xdr:row>
      <xdr:rowOff>129540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4C8C6F5-9F67-4FD3-9CDE-EF6EA6A3C521}"/>
            </a:ext>
          </a:extLst>
        </xdr:cNvPr>
        <xdr:cNvSpPr/>
      </xdr:nvSpPr>
      <xdr:spPr>
        <a:xfrm>
          <a:off x="9250680" y="640080"/>
          <a:ext cx="2133599" cy="76962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0">
              <a:solidFill>
                <a:schemeClr val="bg1"/>
              </a:solidFill>
            </a:rPr>
            <a:t>CHURN</a:t>
          </a:r>
          <a:r>
            <a:rPr lang="en-US" sz="1800" b="0" baseline="0">
              <a:solidFill>
                <a:schemeClr val="bg1"/>
              </a:solidFill>
            </a:rPr>
            <a:t> RATE</a:t>
          </a:r>
        </a:p>
        <a:p>
          <a:pPr algn="l"/>
          <a:r>
            <a:rPr lang="en-US" sz="1800" b="0" baseline="0">
              <a:solidFill>
                <a:schemeClr val="bg1"/>
              </a:solidFill>
            </a:rPr>
            <a:t>7%</a:t>
          </a:r>
          <a:endParaRPr lang="en-US" sz="1800" b="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533400</xdr:colOff>
      <xdr:row>3</xdr:row>
      <xdr:rowOff>83820</xdr:rowOff>
    </xdr:from>
    <xdr:to>
      <xdr:col>22</xdr:col>
      <xdr:colOff>228599</xdr:colOff>
      <xdr:row>7</xdr:row>
      <xdr:rowOff>152400</xdr:rowOff>
    </xdr:to>
    <xdr:sp macro="" textlink="payment_segament!C4">
      <xdr:nvSpPr>
        <xdr:cNvPr id="22" name="Rectangle: Rounded Corners 21">
          <a:extLst>
            <a:ext uri="{FF2B5EF4-FFF2-40B4-BE49-F238E27FC236}">
              <a16:creationId xmlns:a16="http://schemas.microsoft.com/office/drawing/2014/main" id="{4F762354-40D2-421D-B6CD-7167393B4206}"/>
            </a:ext>
          </a:extLst>
        </xdr:cNvPr>
        <xdr:cNvSpPr/>
      </xdr:nvSpPr>
      <xdr:spPr>
        <a:xfrm>
          <a:off x="11506200" y="632460"/>
          <a:ext cx="2133599" cy="800100"/>
        </a:xfrm>
        <a:prstGeom prst="roundRect">
          <a:avLst/>
        </a:prstGeom>
        <a:solidFill>
          <a:srgbClr val="E50914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PAYMENT SUCCESS RATE</a:t>
          </a:r>
          <a:r>
            <a:rPr lang="en-US" sz="14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</a:t>
          </a:r>
        </a:p>
        <a:p>
          <a:pPr algn="l"/>
          <a:fld id="{5FE7088B-AB2B-48C2-9DD9-E36120231FDE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89%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167640</xdr:colOff>
      <xdr:row>9</xdr:row>
      <xdr:rowOff>7620</xdr:rowOff>
    </xdr:from>
    <xdr:to>
      <xdr:col>5</xdr:col>
      <xdr:colOff>114300</xdr:colOff>
      <xdr:row>27</xdr:row>
      <xdr:rowOff>15240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997E1B7-90C4-4D25-B938-AC2739DA9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327660</xdr:colOff>
      <xdr:row>8</xdr:row>
      <xdr:rowOff>137160</xdr:rowOff>
    </xdr:from>
    <xdr:to>
      <xdr:col>15</xdr:col>
      <xdr:colOff>7620</xdr:colOff>
      <xdr:row>27</xdr:row>
      <xdr:rowOff>144780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42CF1E5-8415-4A81-91A5-417EC7FA4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594360</xdr:colOff>
      <xdr:row>8</xdr:row>
      <xdr:rowOff>129540</xdr:rowOff>
    </xdr:from>
    <xdr:to>
      <xdr:col>22</xdr:col>
      <xdr:colOff>220980</xdr:colOff>
      <xdr:row>27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B301CAD-B94D-4BB7-A706-0576193E9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A306-2D5E-4C37-B3C5-9E3878500DAD}">
  <dimension ref="A1:R67"/>
  <sheetViews>
    <sheetView topLeftCell="D1" workbookViewId="0">
      <selection activeCell="N2" sqref="N2:O5"/>
    </sheetView>
  </sheetViews>
  <sheetFormatPr defaultRowHeight="14.4" x14ac:dyDescent="0.3"/>
  <cols>
    <col min="1" max="1" width="10.33203125" bestFit="1" customWidth="1"/>
    <col min="2" max="2" width="10.44140625" customWidth="1"/>
    <col min="5" max="5" width="11.6640625" customWidth="1"/>
    <col min="9" max="9" width="11" customWidth="1"/>
    <col min="11" max="11" width="10.5546875" customWidth="1"/>
    <col min="14" max="14" width="11" customWidth="1"/>
    <col min="18" max="18" width="17.21875" customWidth="1"/>
  </cols>
  <sheetData>
    <row r="1" spans="1:18" s="2" customFormat="1" x14ac:dyDescent="0.3">
      <c r="A1" s="2" t="s">
        <v>0</v>
      </c>
      <c r="B1" s="2" t="s">
        <v>1</v>
      </c>
      <c r="E1" s="2" t="s">
        <v>0</v>
      </c>
      <c r="F1" s="2" t="s">
        <v>2</v>
      </c>
      <c r="I1" s="2" t="s">
        <v>7</v>
      </c>
      <c r="J1" s="2" t="s">
        <v>8</v>
      </c>
      <c r="K1" s="2" t="s">
        <v>9</v>
      </c>
      <c r="N1" s="2" t="s">
        <v>10</v>
      </c>
      <c r="O1" s="2" t="s">
        <v>11</v>
      </c>
      <c r="R1" s="2" t="s">
        <v>12</v>
      </c>
    </row>
    <row r="2" spans="1:18" x14ac:dyDescent="0.3">
      <c r="A2" s="1">
        <v>44197</v>
      </c>
      <c r="B2">
        <v>3319</v>
      </c>
      <c r="E2" s="1">
        <v>44197</v>
      </c>
      <c r="F2">
        <v>321921</v>
      </c>
      <c r="I2" t="s">
        <v>3</v>
      </c>
      <c r="J2">
        <v>2721524</v>
      </c>
      <c r="K2" s="3">
        <f>J2/SUM($J$2:$J$5)</f>
        <v>0.13168678959196278</v>
      </c>
      <c r="N2" t="s">
        <v>3</v>
      </c>
      <c r="O2">
        <v>13676</v>
      </c>
      <c r="R2">
        <v>572</v>
      </c>
    </row>
    <row r="3" spans="1:18" x14ac:dyDescent="0.3">
      <c r="A3" s="1">
        <v>44228</v>
      </c>
      <c r="B3">
        <v>2936</v>
      </c>
      <c r="E3" s="1">
        <v>44228</v>
      </c>
      <c r="F3">
        <v>264519</v>
      </c>
      <c r="I3" t="s">
        <v>4</v>
      </c>
      <c r="J3">
        <v>2033105</v>
      </c>
      <c r="K3" s="3">
        <f>J3/SUM($J$2:$J$5)</f>
        <v>9.837615628352625E-2</v>
      </c>
      <c r="N3" t="s">
        <v>4</v>
      </c>
      <c r="O3">
        <v>13645</v>
      </c>
    </row>
    <row r="4" spans="1:18" x14ac:dyDescent="0.3">
      <c r="A4" s="1">
        <v>44256</v>
      </c>
      <c r="B4">
        <v>3344</v>
      </c>
      <c r="E4" s="1">
        <v>44256</v>
      </c>
      <c r="F4">
        <v>329570</v>
      </c>
      <c r="I4" t="s">
        <v>5</v>
      </c>
      <c r="J4">
        <v>8965935</v>
      </c>
      <c r="K4" s="3">
        <f>J4/SUM($J$2:$J$5)</f>
        <v>0.4338360403363023</v>
      </c>
      <c r="N4" t="s">
        <v>5</v>
      </c>
      <c r="O4">
        <v>13815</v>
      </c>
    </row>
    <row r="5" spans="1:18" x14ac:dyDescent="0.3">
      <c r="A5" s="1">
        <v>44287</v>
      </c>
      <c r="B5">
        <v>3238</v>
      </c>
      <c r="E5" s="1">
        <v>44287</v>
      </c>
      <c r="F5">
        <v>331681</v>
      </c>
      <c r="I5" t="s">
        <v>6</v>
      </c>
      <c r="J5">
        <v>6946080</v>
      </c>
      <c r="K5" s="3">
        <f>J5/SUM($J$2:$J$5)</f>
        <v>0.33610101378820867</v>
      </c>
      <c r="N5" t="s">
        <v>6</v>
      </c>
      <c r="O5">
        <v>13920</v>
      </c>
    </row>
    <row r="6" spans="1:18" x14ac:dyDescent="0.3">
      <c r="A6" s="1">
        <v>44317</v>
      </c>
      <c r="B6">
        <v>3343</v>
      </c>
      <c r="E6" s="1">
        <v>44317</v>
      </c>
      <c r="F6">
        <v>321658</v>
      </c>
    </row>
    <row r="7" spans="1:18" x14ac:dyDescent="0.3">
      <c r="A7" s="1">
        <v>44348</v>
      </c>
      <c r="B7">
        <v>3209</v>
      </c>
      <c r="E7" s="1">
        <v>44348</v>
      </c>
      <c r="F7">
        <v>316731</v>
      </c>
    </row>
    <row r="8" spans="1:18" x14ac:dyDescent="0.3">
      <c r="A8" s="1">
        <v>44378</v>
      </c>
      <c r="B8">
        <v>3311</v>
      </c>
      <c r="E8" s="1">
        <v>44378</v>
      </c>
      <c r="F8">
        <v>324591</v>
      </c>
    </row>
    <row r="9" spans="1:18" x14ac:dyDescent="0.3">
      <c r="A9" s="1">
        <v>44409</v>
      </c>
      <c r="B9">
        <v>3155</v>
      </c>
      <c r="E9" s="1">
        <v>44409</v>
      </c>
      <c r="F9">
        <v>295793</v>
      </c>
    </row>
    <row r="10" spans="1:18" x14ac:dyDescent="0.3">
      <c r="A10" s="1">
        <v>44440</v>
      </c>
      <c r="B10">
        <v>3284</v>
      </c>
      <c r="E10" s="1">
        <v>44440</v>
      </c>
      <c r="F10">
        <v>310037</v>
      </c>
    </row>
    <row r="11" spans="1:18" x14ac:dyDescent="0.3">
      <c r="A11" s="1">
        <v>44470</v>
      </c>
      <c r="B11">
        <v>3226</v>
      </c>
      <c r="E11" s="1">
        <v>44470</v>
      </c>
      <c r="F11">
        <v>319341</v>
      </c>
    </row>
    <row r="12" spans="1:18" x14ac:dyDescent="0.3">
      <c r="A12" s="1">
        <v>44501</v>
      </c>
      <c r="B12">
        <v>3254</v>
      </c>
      <c r="E12" s="1">
        <v>44501</v>
      </c>
      <c r="F12">
        <v>314925</v>
      </c>
    </row>
    <row r="13" spans="1:18" x14ac:dyDescent="0.3">
      <c r="A13" s="1">
        <v>44531</v>
      </c>
      <c r="B13">
        <v>3266</v>
      </c>
      <c r="E13" s="1">
        <v>44531</v>
      </c>
      <c r="F13">
        <v>325854</v>
      </c>
    </row>
    <row r="14" spans="1:18" x14ac:dyDescent="0.3">
      <c r="A14" s="1">
        <v>44562</v>
      </c>
      <c r="B14">
        <v>3315</v>
      </c>
      <c r="E14" s="1">
        <v>44562</v>
      </c>
      <c r="F14">
        <v>308357</v>
      </c>
    </row>
    <row r="15" spans="1:18" x14ac:dyDescent="0.3">
      <c r="A15" s="1">
        <v>44593</v>
      </c>
      <c r="B15">
        <v>2963</v>
      </c>
      <c r="E15" s="1">
        <v>44593</v>
      </c>
      <c r="F15">
        <v>278551</v>
      </c>
    </row>
    <row r="16" spans="1:18" x14ac:dyDescent="0.3">
      <c r="A16" s="1">
        <v>44621</v>
      </c>
      <c r="B16">
        <v>3347</v>
      </c>
      <c r="E16" s="1">
        <v>44621</v>
      </c>
      <c r="F16">
        <v>320945</v>
      </c>
    </row>
    <row r="17" spans="1:6" x14ac:dyDescent="0.3">
      <c r="A17" s="1">
        <v>44652</v>
      </c>
      <c r="B17">
        <v>3133</v>
      </c>
      <c r="E17" s="1">
        <v>44652</v>
      </c>
      <c r="F17">
        <v>317823</v>
      </c>
    </row>
    <row r="18" spans="1:6" x14ac:dyDescent="0.3">
      <c r="A18" s="1">
        <v>44682</v>
      </c>
      <c r="B18">
        <v>3331</v>
      </c>
      <c r="E18" s="1">
        <v>44682</v>
      </c>
      <c r="F18">
        <v>324939</v>
      </c>
    </row>
    <row r="19" spans="1:6" x14ac:dyDescent="0.3">
      <c r="A19" s="1">
        <v>44713</v>
      </c>
      <c r="B19">
        <v>3271</v>
      </c>
      <c r="E19" s="1">
        <v>44713</v>
      </c>
      <c r="F19">
        <v>308390</v>
      </c>
    </row>
    <row r="20" spans="1:6" x14ac:dyDescent="0.3">
      <c r="A20" s="1">
        <v>44743</v>
      </c>
      <c r="B20">
        <v>3245</v>
      </c>
      <c r="E20" s="1">
        <v>44743</v>
      </c>
      <c r="F20">
        <v>306394</v>
      </c>
    </row>
    <row r="21" spans="1:6" x14ac:dyDescent="0.3">
      <c r="A21" s="1">
        <v>44774</v>
      </c>
      <c r="B21">
        <v>3373</v>
      </c>
      <c r="E21" s="1">
        <v>44774</v>
      </c>
      <c r="F21">
        <v>325932</v>
      </c>
    </row>
    <row r="22" spans="1:6" x14ac:dyDescent="0.3">
      <c r="A22" s="1">
        <v>44805</v>
      </c>
      <c r="B22">
        <v>3117</v>
      </c>
      <c r="E22" s="1">
        <v>44805</v>
      </c>
      <c r="F22">
        <v>276194</v>
      </c>
    </row>
    <row r="23" spans="1:6" x14ac:dyDescent="0.3">
      <c r="A23" s="1">
        <v>44835</v>
      </c>
      <c r="B23">
        <v>3416</v>
      </c>
      <c r="E23" s="1">
        <v>44835</v>
      </c>
      <c r="F23">
        <v>318935</v>
      </c>
    </row>
    <row r="24" spans="1:6" x14ac:dyDescent="0.3">
      <c r="A24" s="1">
        <v>44866</v>
      </c>
      <c r="B24">
        <v>3190</v>
      </c>
      <c r="E24" s="1">
        <v>44866</v>
      </c>
      <c r="F24">
        <v>296895</v>
      </c>
    </row>
    <row r="25" spans="1:6" x14ac:dyDescent="0.3">
      <c r="A25" s="1">
        <v>44896</v>
      </c>
      <c r="B25">
        <v>3336</v>
      </c>
      <c r="E25" s="1">
        <v>44896</v>
      </c>
      <c r="F25">
        <v>328945</v>
      </c>
    </row>
    <row r="26" spans="1:6" x14ac:dyDescent="0.3">
      <c r="A26" s="1">
        <v>44927</v>
      </c>
      <c r="B26">
        <v>3282</v>
      </c>
      <c r="E26" s="1">
        <v>44927</v>
      </c>
      <c r="F26">
        <v>320084</v>
      </c>
    </row>
    <row r="27" spans="1:6" x14ac:dyDescent="0.3">
      <c r="A27" s="1">
        <v>44958</v>
      </c>
      <c r="B27">
        <v>2945</v>
      </c>
      <c r="E27" s="1">
        <v>44958</v>
      </c>
      <c r="F27">
        <v>287176</v>
      </c>
    </row>
    <row r="28" spans="1:6" x14ac:dyDescent="0.3">
      <c r="A28" s="1">
        <v>44986</v>
      </c>
      <c r="B28">
        <v>3209</v>
      </c>
      <c r="E28" s="1">
        <v>44986</v>
      </c>
      <c r="F28">
        <v>326830</v>
      </c>
    </row>
    <row r="29" spans="1:6" x14ac:dyDescent="0.3">
      <c r="A29" s="1">
        <v>45017</v>
      </c>
      <c r="B29">
        <v>3343</v>
      </c>
      <c r="E29" s="1">
        <v>45017</v>
      </c>
      <c r="F29">
        <v>314532</v>
      </c>
    </row>
    <row r="30" spans="1:6" x14ac:dyDescent="0.3">
      <c r="A30" s="1">
        <v>45047</v>
      </c>
      <c r="B30">
        <v>3191</v>
      </c>
      <c r="E30" s="1">
        <v>45047</v>
      </c>
      <c r="F30">
        <v>322342</v>
      </c>
    </row>
    <row r="31" spans="1:6" x14ac:dyDescent="0.3">
      <c r="A31" s="1">
        <v>45078</v>
      </c>
      <c r="B31">
        <v>3207</v>
      </c>
      <c r="E31" s="1">
        <v>45078</v>
      </c>
      <c r="F31">
        <v>309513</v>
      </c>
    </row>
    <row r="32" spans="1:6" x14ac:dyDescent="0.3">
      <c r="A32" s="1">
        <v>45108</v>
      </c>
      <c r="B32">
        <v>3346</v>
      </c>
      <c r="E32" s="1">
        <v>45108</v>
      </c>
      <c r="F32">
        <v>313254</v>
      </c>
    </row>
    <row r="33" spans="1:6" x14ac:dyDescent="0.3">
      <c r="A33" s="1">
        <v>45139</v>
      </c>
      <c r="B33">
        <v>3347</v>
      </c>
      <c r="E33" s="1">
        <v>45139</v>
      </c>
      <c r="F33">
        <v>314077</v>
      </c>
    </row>
    <row r="34" spans="1:6" x14ac:dyDescent="0.3">
      <c r="A34" s="1">
        <v>45170</v>
      </c>
      <c r="B34">
        <v>3207</v>
      </c>
      <c r="E34" s="1">
        <v>45170</v>
      </c>
      <c r="F34">
        <v>328140</v>
      </c>
    </row>
    <row r="35" spans="1:6" x14ac:dyDescent="0.3">
      <c r="A35" s="1">
        <v>45200</v>
      </c>
      <c r="B35">
        <v>3226</v>
      </c>
      <c r="E35" s="1">
        <v>45200</v>
      </c>
      <c r="F35">
        <v>328875</v>
      </c>
    </row>
    <row r="36" spans="1:6" x14ac:dyDescent="0.3">
      <c r="A36" s="1">
        <v>45231</v>
      </c>
      <c r="B36">
        <v>3090</v>
      </c>
      <c r="E36" s="1">
        <v>45231</v>
      </c>
      <c r="F36">
        <v>325404</v>
      </c>
    </row>
    <row r="37" spans="1:6" x14ac:dyDescent="0.3">
      <c r="A37" s="1">
        <v>45261</v>
      </c>
      <c r="B37">
        <v>3308</v>
      </c>
      <c r="E37" s="1">
        <v>45261</v>
      </c>
      <c r="F37">
        <v>332068</v>
      </c>
    </row>
    <row r="38" spans="1:6" x14ac:dyDescent="0.3">
      <c r="A38" s="1">
        <v>45292</v>
      </c>
      <c r="B38">
        <v>3347</v>
      </c>
      <c r="E38" s="1">
        <v>45292</v>
      </c>
      <c r="F38">
        <v>333523</v>
      </c>
    </row>
    <row r="39" spans="1:6" x14ac:dyDescent="0.3">
      <c r="A39" s="1">
        <v>45323</v>
      </c>
      <c r="B39">
        <v>3036</v>
      </c>
      <c r="E39" s="1">
        <v>45323</v>
      </c>
      <c r="F39">
        <v>295342</v>
      </c>
    </row>
    <row r="40" spans="1:6" x14ac:dyDescent="0.3">
      <c r="A40" s="1">
        <v>45352</v>
      </c>
      <c r="B40">
        <v>3301</v>
      </c>
      <c r="E40" s="1">
        <v>45352</v>
      </c>
      <c r="F40">
        <v>316476</v>
      </c>
    </row>
    <row r="41" spans="1:6" x14ac:dyDescent="0.3">
      <c r="A41" s="1">
        <v>45383</v>
      </c>
      <c r="B41">
        <v>3223</v>
      </c>
      <c r="E41" s="1">
        <v>45383</v>
      </c>
      <c r="F41">
        <v>314823</v>
      </c>
    </row>
    <row r="42" spans="1:6" x14ac:dyDescent="0.3">
      <c r="A42" s="1">
        <v>45413</v>
      </c>
      <c r="B42">
        <v>3371</v>
      </c>
      <c r="E42" s="1">
        <v>45413</v>
      </c>
      <c r="F42">
        <v>333110</v>
      </c>
    </row>
    <row r="43" spans="1:6" x14ac:dyDescent="0.3">
      <c r="A43" s="1">
        <v>45444</v>
      </c>
      <c r="B43">
        <v>3221</v>
      </c>
      <c r="E43" s="1">
        <v>45444</v>
      </c>
      <c r="F43">
        <v>306243</v>
      </c>
    </row>
    <row r="44" spans="1:6" x14ac:dyDescent="0.3">
      <c r="A44" s="1">
        <v>45474</v>
      </c>
      <c r="B44">
        <v>3295</v>
      </c>
      <c r="E44" s="1">
        <v>45474</v>
      </c>
      <c r="F44">
        <v>325568</v>
      </c>
    </row>
    <row r="45" spans="1:6" x14ac:dyDescent="0.3">
      <c r="A45" s="1">
        <v>45505</v>
      </c>
      <c r="B45">
        <v>3386</v>
      </c>
      <c r="E45" s="1">
        <v>45505</v>
      </c>
      <c r="F45">
        <v>322343</v>
      </c>
    </row>
    <row r="46" spans="1:6" x14ac:dyDescent="0.3">
      <c r="A46" s="1">
        <v>45536</v>
      </c>
      <c r="B46">
        <v>3246</v>
      </c>
      <c r="E46" s="1">
        <v>45536</v>
      </c>
      <c r="F46">
        <v>289004</v>
      </c>
    </row>
    <row r="47" spans="1:6" x14ac:dyDescent="0.3">
      <c r="A47" s="1">
        <v>45566</v>
      </c>
      <c r="B47">
        <v>3247</v>
      </c>
      <c r="E47" s="1">
        <v>45566</v>
      </c>
      <c r="F47">
        <v>311908</v>
      </c>
    </row>
    <row r="48" spans="1:6" x14ac:dyDescent="0.3">
      <c r="A48" s="1">
        <v>45597</v>
      </c>
      <c r="B48">
        <v>3177</v>
      </c>
      <c r="E48" s="1">
        <v>45597</v>
      </c>
      <c r="F48">
        <v>319309</v>
      </c>
    </row>
    <row r="49" spans="1:6" x14ac:dyDescent="0.3">
      <c r="A49" s="1">
        <v>45627</v>
      </c>
      <c r="B49">
        <v>3254</v>
      </c>
      <c r="E49" s="1">
        <v>45627</v>
      </c>
      <c r="F49">
        <v>305682</v>
      </c>
    </row>
    <row r="50" spans="1:6" x14ac:dyDescent="0.3">
      <c r="A50" s="1">
        <v>45658</v>
      </c>
      <c r="B50">
        <v>3370</v>
      </c>
      <c r="E50" s="1">
        <v>45658</v>
      </c>
      <c r="F50">
        <v>337652</v>
      </c>
    </row>
    <row r="51" spans="1:6" x14ac:dyDescent="0.3">
      <c r="A51" s="1">
        <v>45689</v>
      </c>
      <c r="B51">
        <v>2947</v>
      </c>
      <c r="E51" s="1">
        <v>45689</v>
      </c>
      <c r="F51">
        <v>300085</v>
      </c>
    </row>
    <row r="52" spans="1:6" x14ac:dyDescent="0.3">
      <c r="A52" s="1">
        <v>45717</v>
      </c>
      <c r="B52">
        <v>3301</v>
      </c>
      <c r="E52" s="1">
        <v>45717</v>
      </c>
      <c r="F52">
        <v>315256</v>
      </c>
    </row>
    <row r="53" spans="1:6" x14ac:dyDescent="0.3">
      <c r="A53" s="1">
        <v>45748</v>
      </c>
      <c r="B53">
        <v>3182</v>
      </c>
      <c r="E53" s="1">
        <v>45748</v>
      </c>
      <c r="F53">
        <v>308645</v>
      </c>
    </row>
    <row r="54" spans="1:6" x14ac:dyDescent="0.3">
      <c r="A54" s="1">
        <v>45778</v>
      </c>
      <c r="B54">
        <v>3242</v>
      </c>
      <c r="E54" s="1">
        <v>45778</v>
      </c>
      <c r="F54">
        <v>292248</v>
      </c>
    </row>
    <row r="55" spans="1:6" x14ac:dyDescent="0.3">
      <c r="A55" s="1">
        <v>45809</v>
      </c>
      <c r="B55">
        <v>3217</v>
      </c>
      <c r="E55" s="1">
        <v>45809</v>
      </c>
      <c r="F55">
        <v>295884</v>
      </c>
    </row>
    <row r="56" spans="1:6" x14ac:dyDescent="0.3">
      <c r="A56" s="1">
        <v>45839</v>
      </c>
      <c r="B56">
        <v>3389</v>
      </c>
      <c r="E56" s="1">
        <v>45839</v>
      </c>
      <c r="F56">
        <v>337259</v>
      </c>
    </row>
    <row r="57" spans="1:6" x14ac:dyDescent="0.3">
      <c r="A57" s="1">
        <v>45870</v>
      </c>
      <c r="B57">
        <v>3347</v>
      </c>
      <c r="E57" s="1">
        <v>45870</v>
      </c>
      <c r="F57">
        <v>307185</v>
      </c>
    </row>
    <row r="58" spans="1:6" x14ac:dyDescent="0.3">
      <c r="A58" s="1">
        <v>45901</v>
      </c>
      <c r="B58">
        <v>3260</v>
      </c>
      <c r="E58" s="1">
        <v>45901</v>
      </c>
      <c r="F58">
        <v>324599</v>
      </c>
    </row>
    <row r="59" spans="1:6" x14ac:dyDescent="0.3">
      <c r="A59" s="1">
        <v>45931</v>
      </c>
      <c r="B59">
        <v>3389</v>
      </c>
      <c r="E59" s="1">
        <v>45931</v>
      </c>
      <c r="F59">
        <v>347920</v>
      </c>
    </row>
    <row r="60" spans="1:6" x14ac:dyDescent="0.3">
      <c r="A60" s="1">
        <v>45962</v>
      </c>
      <c r="B60">
        <v>3197</v>
      </c>
      <c r="E60" s="1">
        <v>45962</v>
      </c>
      <c r="F60">
        <v>313530</v>
      </c>
    </row>
    <row r="61" spans="1:6" x14ac:dyDescent="0.3">
      <c r="A61" s="1">
        <v>45992</v>
      </c>
      <c r="B61">
        <v>3258</v>
      </c>
      <c r="E61" s="1">
        <v>45992</v>
      </c>
      <c r="F61">
        <v>298432</v>
      </c>
    </row>
    <row r="62" spans="1:6" x14ac:dyDescent="0.3">
      <c r="A62" s="1">
        <v>46023</v>
      </c>
      <c r="B62">
        <v>3349</v>
      </c>
      <c r="E62" s="1">
        <v>46023</v>
      </c>
      <c r="F62">
        <v>326105</v>
      </c>
    </row>
    <row r="63" spans="1:6" x14ac:dyDescent="0.3">
      <c r="A63" s="1">
        <v>46054</v>
      </c>
      <c r="B63">
        <v>2962</v>
      </c>
      <c r="E63" s="1">
        <v>46054</v>
      </c>
      <c r="F63">
        <v>273734</v>
      </c>
    </row>
    <row r="64" spans="1:6" x14ac:dyDescent="0.3">
      <c r="A64" s="1">
        <v>46082</v>
      </c>
      <c r="B64">
        <v>3250</v>
      </c>
      <c r="E64" s="1">
        <v>46082</v>
      </c>
      <c r="F64">
        <v>306123</v>
      </c>
    </row>
    <row r="65" spans="1:6" x14ac:dyDescent="0.3">
      <c r="A65" s="1">
        <v>46113</v>
      </c>
      <c r="B65">
        <v>3222</v>
      </c>
      <c r="E65" s="1">
        <v>46113</v>
      </c>
      <c r="F65">
        <v>305733</v>
      </c>
    </row>
    <row r="66" spans="1:6" x14ac:dyDescent="0.3">
      <c r="A66" s="1">
        <v>46143</v>
      </c>
      <c r="B66">
        <v>3174</v>
      </c>
      <c r="E66" s="1">
        <v>46143</v>
      </c>
      <c r="F66">
        <v>290811</v>
      </c>
    </row>
    <row r="67" spans="1:6" x14ac:dyDescent="0.3">
      <c r="A67" s="1">
        <v>46174</v>
      </c>
      <c r="B67">
        <v>3163</v>
      </c>
      <c r="E67" s="1">
        <v>46174</v>
      </c>
      <c r="F67">
        <v>300896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FDA9-DBA0-4581-9B22-B516F524FAA7}">
  <dimension ref="A1:V3"/>
  <sheetViews>
    <sheetView showGridLines="0" workbookViewId="0">
      <selection activeCell="W3" sqref="W3"/>
    </sheetView>
  </sheetViews>
  <sheetFormatPr defaultRowHeight="14.4" x14ac:dyDescent="0.3"/>
  <cols>
    <col min="1" max="16384" width="8.88671875" style="14"/>
  </cols>
  <sheetData>
    <row r="1" spans="1:22" x14ac:dyDescent="0.3">
      <c r="A1" s="15" t="s">
        <v>1120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</sheetData>
  <mergeCells count="1">
    <mergeCell ref="A1:V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FCBF-2489-4777-A955-C7C6EBB6F86D}">
  <dimension ref="A1:A2"/>
  <sheetViews>
    <sheetView workbookViewId="0">
      <selection activeCell="A2" sqref="A2"/>
    </sheetView>
  </sheetViews>
  <sheetFormatPr defaultRowHeight="14.4" x14ac:dyDescent="0.3"/>
  <sheetData>
    <row r="1" spans="1:1" s="17" customFormat="1" x14ac:dyDescent="0.3"/>
    <row r="2" spans="1:1" x14ac:dyDescent="0.3">
      <c r="A2" s="4" t="s">
        <v>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E3A4-CCAC-411B-8790-A436DD6F8DD4}">
  <dimension ref="A1:O19"/>
  <sheetViews>
    <sheetView workbookViewId="0">
      <selection activeCell="I2" sqref="I2:J19"/>
    </sheetView>
  </sheetViews>
  <sheetFormatPr defaultRowHeight="14.4" x14ac:dyDescent="0.3"/>
  <cols>
    <col min="1" max="1" width="14.44140625" bestFit="1" customWidth="1"/>
    <col min="3" max="3" width="10.33203125" bestFit="1" customWidth="1"/>
    <col min="4" max="4" width="10" bestFit="1" customWidth="1"/>
    <col min="6" max="6" width="10.109375" bestFit="1" customWidth="1"/>
    <col min="7" max="7" width="10" bestFit="1" customWidth="1"/>
    <col min="9" max="9" width="14" bestFit="1" customWidth="1"/>
    <col min="10" max="10" width="10" bestFit="1" customWidth="1"/>
    <col min="11" max="11" width="11.88671875" bestFit="1" customWidth="1"/>
    <col min="13" max="13" width="12.21875" bestFit="1" customWidth="1"/>
    <col min="14" max="14" width="11.88671875" customWidth="1"/>
  </cols>
  <sheetData>
    <row r="1" spans="1:15" s="2" customFormat="1" x14ac:dyDescent="0.3">
      <c r="A1" s="2" t="s">
        <v>13</v>
      </c>
      <c r="C1" s="2" t="s">
        <v>20</v>
      </c>
      <c r="D1" s="2" t="s">
        <v>21</v>
      </c>
      <c r="F1" s="2" t="s">
        <v>25</v>
      </c>
      <c r="G1" s="2" t="s">
        <v>21</v>
      </c>
      <c r="I1" s="2" t="s">
        <v>45</v>
      </c>
      <c r="J1" s="2" t="s">
        <v>21</v>
      </c>
      <c r="K1" s="2" t="s">
        <v>44</v>
      </c>
      <c r="M1" s="2" t="s">
        <v>52</v>
      </c>
      <c r="N1" s="2" t="s">
        <v>21</v>
      </c>
      <c r="O1" s="2" t="s">
        <v>44</v>
      </c>
    </row>
    <row r="2" spans="1:15" x14ac:dyDescent="0.3">
      <c r="A2">
        <v>60000</v>
      </c>
      <c r="C2" t="s">
        <v>14</v>
      </c>
      <c r="D2">
        <v>199</v>
      </c>
      <c r="F2" t="s">
        <v>22</v>
      </c>
      <c r="G2">
        <v>28760</v>
      </c>
      <c r="I2" t="s">
        <v>26</v>
      </c>
      <c r="J2">
        <v>4009</v>
      </c>
      <c r="K2" s="4">
        <f>J2/SUM($J$2:$J$19)</f>
        <v>6.6816666666666663E-2</v>
      </c>
      <c r="M2" t="s">
        <v>46</v>
      </c>
      <c r="N2">
        <v>10071</v>
      </c>
      <c r="O2" s="4">
        <f t="shared" ref="O2:O7" si="0">N2/SUM($N$2:$N$7)</f>
        <v>0.16785</v>
      </c>
    </row>
    <row r="3" spans="1:15" x14ac:dyDescent="0.3">
      <c r="C3" t="s">
        <v>15</v>
      </c>
      <c r="D3">
        <v>6924</v>
      </c>
      <c r="F3" t="s">
        <v>23</v>
      </c>
      <c r="G3">
        <v>2419</v>
      </c>
      <c r="I3" t="s">
        <v>27</v>
      </c>
      <c r="J3">
        <v>142</v>
      </c>
      <c r="K3" s="4">
        <f t="shared" ref="K3:K19" si="1">J3/SUM($J$2:$J$19)</f>
        <v>2.3666666666666667E-3</v>
      </c>
      <c r="M3" t="s">
        <v>47</v>
      </c>
      <c r="N3">
        <v>10002</v>
      </c>
      <c r="O3" s="4">
        <f t="shared" si="0"/>
        <v>0.16669999999999999</v>
      </c>
    </row>
    <row r="4" spans="1:15" x14ac:dyDescent="0.3">
      <c r="C4" t="s">
        <v>16</v>
      </c>
      <c r="D4">
        <v>8674</v>
      </c>
      <c r="F4" t="s">
        <v>24</v>
      </c>
      <c r="G4">
        <v>28821</v>
      </c>
      <c r="I4" t="s">
        <v>28</v>
      </c>
      <c r="J4">
        <v>4030</v>
      </c>
      <c r="K4" s="4">
        <f t="shared" si="1"/>
        <v>6.7166666666666666E-2</v>
      </c>
      <c r="M4" t="s">
        <v>48</v>
      </c>
      <c r="N4">
        <v>9911</v>
      </c>
      <c r="O4" s="4">
        <f t="shared" si="0"/>
        <v>0.16518333333333332</v>
      </c>
    </row>
    <row r="5" spans="1:15" x14ac:dyDescent="0.3">
      <c r="C5" t="s">
        <v>17</v>
      </c>
      <c r="D5">
        <v>8788</v>
      </c>
      <c r="I5" t="s">
        <v>29</v>
      </c>
      <c r="J5">
        <v>4090</v>
      </c>
      <c r="K5" s="4">
        <f t="shared" si="1"/>
        <v>6.8166666666666667E-2</v>
      </c>
      <c r="M5" t="s">
        <v>49</v>
      </c>
      <c r="N5">
        <v>10064</v>
      </c>
      <c r="O5" s="4">
        <f t="shared" si="0"/>
        <v>0.16773333333333335</v>
      </c>
    </row>
    <row r="6" spans="1:15" x14ac:dyDescent="0.3">
      <c r="C6" t="s">
        <v>18</v>
      </c>
      <c r="D6">
        <v>17347</v>
      </c>
      <c r="I6" t="s">
        <v>30</v>
      </c>
      <c r="J6">
        <v>161</v>
      </c>
      <c r="K6" s="4">
        <f t="shared" si="1"/>
        <v>2.6833333333333331E-3</v>
      </c>
      <c r="M6" t="s">
        <v>50</v>
      </c>
      <c r="N6">
        <v>9940</v>
      </c>
      <c r="O6" s="4">
        <f t="shared" si="0"/>
        <v>0.16566666666666666</v>
      </c>
    </row>
    <row r="7" spans="1:15" x14ac:dyDescent="0.3">
      <c r="C7" t="s">
        <v>19</v>
      </c>
      <c r="D7">
        <v>18068</v>
      </c>
      <c r="I7" t="s">
        <v>31</v>
      </c>
      <c r="J7">
        <v>3955</v>
      </c>
      <c r="K7" s="4">
        <f t="shared" si="1"/>
        <v>6.5916666666666665E-2</v>
      </c>
      <c r="M7" t="s">
        <v>51</v>
      </c>
      <c r="N7">
        <v>10012</v>
      </c>
      <c r="O7" s="4">
        <f t="shared" si="0"/>
        <v>0.16686666666666666</v>
      </c>
    </row>
    <row r="8" spans="1:15" x14ac:dyDescent="0.3">
      <c r="I8" t="s">
        <v>32</v>
      </c>
      <c r="J8">
        <v>3866</v>
      </c>
      <c r="K8" s="4">
        <f t="shared" si="1"/>
        <v>6.4433333333333329E-2</v>
      </c>
    </row>
    <row r="9" spans="1:15" x14ac:dyDescent="0.3">
      <c r="I9" t="s">
        <v>33</v>
      </c>
      <c r="J9">
        <v>3990</v>
      </c>
      <c r="K9" s="4">
        <f t="shared" si="1"/>
        <v>6.6500000000000004E-2</v>
      </c>
    </row>
    <row r="10" spans="1:15" x14ac:dyDescent="0.3">
      <c r="I10" t="s">
        <v>34</v>
      </c>
      <c r="J10">
        <v>162</v>
      </c>
      <c r="K10" s="4">
        <f t="shared" si="1"/>
        <v>2.7000000000000001E-3</v>
      </c>
    </row>
    <row r="11" spans="1:15" x14ac:dyDescent="0.3">
      <c r="I11" t="s">
        <v>35</v>
      </c>
      <c r="J11">
        <v>3900</v>
      </c>
      <c r="K11" s="4">
        <f t="shared" si="1"/>
        <v>6.5000000000000002E-2</v>
      </c>
    </row>
    <row r="12" spans="1:15" x14ac:dyDescent="0.3">
      <c r="I12" t="s">
        <v>36</v>
      </c>
      <c r="J12">
        <v>3942</v>
      </c>
      <c r="K12" s="4">
        <f t="shared" si="1"/>
        <v>6.5699999999999995E-2</v>
      </c>
    </row>
    <row r="13" spans="1:15" x14ac:dyDescent="0.3">
      <c r="I13" t="s">
        <v>37</v>
      </c>
      <c r="J13">
        <v>3811</v>
      </c>
      <c r="K13" s="4">
        <f t="shared" si="1"/>
        <v>6.3516666666666666E-2</v>
      </c>
    </row>
    <row r="14" spans="1:15" x14ac:dyDescent="0.3">
      <c r="I14" t="s">
        <v>38</v>
      </c>
      <c r="J14">
        <v>3995</v>
      </c>
      <c r="K14" s="4">
        <f t="shared" si="1"/>
        <v>6.6583333333333328E-2</v>
      </c>
    </row>
    <row r="15" spans="1:15" x14ac:dyDescent="0.3">
      <c r="I15" t="s">
        <v>39</v>
      </c>
      <c r="J15">
        <v>3996</v>
      </c>
      <c r="K15" s="4">
        <f t="shared" si="1"/>
        <v>6.6600000000000006E-2</v>
      </c>
    </row>
    <row r="16" spans="1:15" x14ac:dyDescent="0.3">
      <c r="I16" t="s">
        <v>40</v>
      </c>
      <c r="J16">
        <v>4168</v>
      </c>
      <c r="K16" s="4">
        <f t="shared" si="1"/>
        <v>6.9466666666666663E-2</v>
      </c>
    </row>
    <row r="17" spans="9:11" x14ac:dyDescent="0.3">
      <c r="I17" t="s">
        <v>41</v>
      </c>
      <c r="J17">
        <v>3977</v>
      </c>
      <c r="K17" s="4">
        <f t="shared" si="1"/>
        <v>6.6283333333333333E-2</v>
      </c>
    </row>
    <row r="18" spans="9:11" x14ac:dyDescent="0.3">
      <c r="I18" t="s">
        <v>42</v>
      </c>
      <c r="J18">
        <v>3896</v>
      </c>
      <c r="K18" s="4">
        <f t="shared" si="1"/>
        <v>6.4933333333333329E-2</v>
      </c>
    </row>
    <row r="19" spans="9:11" x14ac:dyDescent="0.3">
      <c r="I19" t="s">
        <v>43</v>
      </c>
      <c r="J19">
        <v>3910</v>
      </c>
      <c r="K19" s="4">
        <f t="shared" si="1"/>
        <v>6.5166666666666664E-2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639B-D678-4FEA-A708-DC2249FA3562}">
  <dimension ref="A1:Z1001"/>
  <sheetViews>
    <sheetView workbookViewId="0">
      <selection activeCell="Q19" sqref="Q19"/>
    </sheetView>
  </sheetViews>
  <sheetFormatPr defaultRowHeight="14.4" x14ac:dyDescent="0.3"/>
  <cols>
    <col min="1" max="1" width="12" bestFit="1" customWidth="1"/>
    <col min="2" max="2" width="10.44140625" bestFit="1" customWidth="1"/>
    <col min="3" max="3" width="12.109375" bestFit="1" customWidth="1"/>
    <col min="6" max="7" width="12" bestFit="1" customWidth="1"/>
    <col min="8" max="8" width="11.33203125" bestFit="1" customWidth="1"/>
    <col min="11" max="12" width="12" bestFit="1" customWidth="1"/>
    <col min="14" max="14" width="22.77734375" bestFit="1" customWidth="1"/>
    <col min="15" max="15" width="12" bestFit="1" customWidth="1"/>
    <col min="17" max="17" width="11.88671875" bestFit="1" customWidth="1"/>
    <col min="18" max="18" width="10.44140625" bestFit="1" customWidth="1"/>
    <col min="19" max="19" width="12" bestFit="1" customWidth="1"/>
    <col min="24" max="24" width="16.5546875" bestFit="1" customWidth="1"/>
    <col min="25" max="25" width="12" bestFit="1" customWidth="1"/>
  </cols>
  <sheetData>
    <row r="1" spans="1:26" s="5" customFormat="1" x14ac:dyDescent="0.3">
      <c r="A1" s="5" t="s">
        <v>83</v>
      </c>
      <c r="B1" s="5" t="s">
        <v>84</v>
      </c>
      <c r="C1" s="5" t="s">
        <v>85</v>
      </c>
      <c r="F1" s="5" t="s">
        <v>86</v>
      </c>
      <c r="G1" s="5" t="s">
        <v>87</v>
      </c>
      <c r="H1" s="5" t="s">
        <v>88</v>
      </c>
      <c r="K1" s="5" t="s">
        <v>86</v>
      </c>
      <c r="L1" s="5" t="s">
        <v>89</v>
      </c>
      <c r="N1" s="5" t="s">
        <v>91</v>
      </c>
      <c r="O1" s="5" t="s">
        <v>90</v>
      </c>
      <c r="Q1" s="5" t="s">
        <v>1094</v>
      </c>
      <c r="R1" s="5" t="s">
        <v>84</v>
      </c>
      <c r="S1" s="5" t="s">
        <v>90</v>
      </c>
      <c r="T1" s="5" t="s">
        <v>1110</v>
      </c>
      <c r="U1" s="5" t="s">
        <v>1111</v>
      </c>
      <c r="X1" s="5" t="s">
        <v>1101</v>
      </c>
      <c r="Y1" s="5" t="s">
        <v>90</v>
      </c>
    </row>
    <row r="2" spans="1:26" x14ac:dyDescent="0.3">
      <c r="A2" t="s">
        <v>53</v>
      </c>
      <c r="B2">
        <v>1351</v>
      </c>
      <c r="C2" s="6">
        <f>B2/SUM($B$2:$B$31)</f>
        <v>1.6887499999999999E-3</v>
      </c>
      <c r="F2" t="s">
        <v>53</v>
      </c>
      <c r="G2">
        <v>1686.02</v>
      </c>
      <c r="H2" s="6">
        <f>G2/SUM($G$2:$G$31)</f>
        <v>1.669840638529582E-3</v>
      </c>
      <c r="K2" t="s">
        <v>53</v>
      </c>
      <c r="L2">
        <v>3.9550653594771199</v>
      </c>
      <c r="N2" t="s">
        <v>92</v>
      </c>
      <c r="O2">
        <v>326.38166666666598</v>
      </c>
      <c r="Q2" t="s">
        <v>1092</v>
      </c>
      <c r="R2">
        <v>385630</v>
      </c>
      <c r="S2">
        <v>486502.51666666602</v>
      </c>
      <c r="T2" s="4">
        <f>$R$2/$R$4</f>
        <v>0.48203750000000001</v>
      </c>
      <c r="U2" s="4">
        <f>$S$2/$S$4</f>
        <v>0.48183394804149104</v>
      </c>
      <c r="X2" t="s">
        <v>1097</v>
      </c>
      <c r="Y2">
        <v>125883.851666666</v>
      </c>
      <c r="Z2" s="4">
        <f>$Y$2/SUM($Y$2:$Y$7)</f>
        <v>0.12467584681535754</v>
      </c>
    </row>
    <row r="3" spans="1:26" x14ac:dyDescent="0.3">
      <c r="A3" t="s">
        <v>54</v>
      </c>
      <c r="B3">
        <v>56110</v>
      </c>
      <c r="C3" s="6">
        <f t="shared" ref="C3:C31" si="0">B3/SUM($B$2:$B$31)</f>
        <v>7.0137500000000005E-2</v>
      </c>
      <c r="F3" t="s">
        <v>54</v>
      </c>
      <c r="G3">
        <v>71009.205000000002</v>
      </c>
      <c r="H3" s="6">
        <f t="shared" ref="H3:H31" si="1">G3/SUM($G$2:$G$31)</f>
        <v>7.0327787463184299E-2</v>
      </c>
      <c r="K3" t="s">
        <v>54</v>
      </c>
      <c r="L3">
        <v>3.9519770660339999</v>
      </c>
      <c r="N3" t="s">
        <v>93</v>
      </c>
      <c r="O3">
        <v>328.57666666666597</v>
      </c>
      <c r="Q3" t="s">
        <v>1093</v>
      </c>
      <c r="R3">
        <v>414370</v>
      </c>
      <c r="S3">
        <v>523186.64833333303</v>
      </c>
      <c r="T3" s="4">
        <f>$R$3/$R$4</f>
        <v>0.51796249999999999</v>
      </c>
      <c r="U3" s="4">
        <f>$S$3/$S$4</f>
        <v>0.51816605195850896</v>
      </c>
      <c r="X3" t="s">
        <v>1098</v>
      </c>
      <c r="Y3">
        <v>252779.185</v>
      </c>
      <c r="Z3" s="4">
        <f>$Y$3/SUM($Y$2:$Y$7)</f>
        <v>0.25035346893120369</v>
      </c>
    </row>
    <row r="4" spans="1:26" x14ac:dyDescent="0.3">
      <c r="A4" t="s">
        <v>55</v>
      </c>
      <c r="B4">
        <v>2608</v>
      </c>
      <c r="C4" s="6">
        <f t="shared" si="0"/>
        <v>3.2599999999999999E-3</v>
      </c>
      <c r="F4" t="s">
        <v>55</v>
      </c>
      <c r="G4">
        <v>3287.8783333333299</v>
      </c>
      <c r="H4" s="6">
        <f t="shared" si="1"/>
        <v>3.2563272413974362E-3</v>
      </c>
      <c r="K4" t="s">
        <v>55</v>
      </c>
      <c r="L4">
        <v>3.9364745477492602</v>
      </c>
      <c r="N4" t="s">
        <v>94</v>
      </c>
      <c r="O4">
        <v>334.606666666666</v>
      </c>
      <c r="R4">
        <f>SUM(R2:R3)</f>
        <v>800000</v>
      </c>
      <c r="S4">
        <f>SUM(S2:S3)</f>
        <v>1009689.1649999991</v>
      </c>
      <c r="T4" s="4"/>
      <c r="U4" s="4"/>
      <c r="X4" t="s">
        <v>4</v>
      </c>
      <c r="Y4">
        <v>252815.155</v>
      </c>
      <c r="Z4" s="4">
        <f>$Y$4/SUM($Y$2:$Y$7)</f>
        <v>0.25038909375639434</v>
      </c>
    </row>
    <row r="5" spans="1:26" x14ac:dyDescent="0.3">
      <c r="A5" t="s">
        <v>56</v>
      </c>
      <c r="B5">
        <v>50032</v>
      </c>
      <c r="C5" s="6">
        <f t="shared" si="0"/>
        <v>6.2539999999999998E-2</v>
      </c>
      <c r="F5" t="s">
        <v>56</v>
      </c>
      <c r="G5">
        <v>63116.055</v>
      </c>
      <c r="H5" s="6">
        <f t="shared" si="1"/>
        <v>6.2510381598479395E-2</v>
      </c>
      <c r="K5" t="s">
        <v>56</v>
      </c>
      <c r="L5">
        <v>3.95725639484405</v>
      </c>
      <c r="N5" t="s">
        <v>95</v>
      </c>
      <c r="O5">
        <v>319.87</v>
      </c>
      <c r="X5" t="s">
        <v>1099</v>
      </c>
      <c r="Y5">
        <v>126382.07</v>
      </c>
      <c r="Z5" s="4">
        <f>$Y$5/SUM($Y$2:$Y$7)</f>
        <v>0.12516928415291081</v>
      </c>
    </row>
    <row r="6" spans="1:26" x14ac:dyDescent="0.3">
      <c r="A6" t="s">
        <v>57</v>
      </c>
      <c r="B6">
        <v>2410</v>
      </c>
      <c r="C6" s="6">
        <f t="shared" si="0"/>
        <v>3.0125E-3</v>
      </c>
      <c r="F6" t="s">
        <v>57</v>
      </c>
      <c r="G6">
        <v>3033.88</v>
      </c>
      <c r="H6" s="6">
        <f t="shared" si="1"/>
        <v>3.004766323307036E-3</v>
      </c>
      <c r="K6" t="s">
        <v>57</v>
      </c>
      <c r="L6">
        <v>3.9576036866359399</v>
      </c>
      <c r="N6" t="s">
        <v>96</v>
      </c>
      <c r="O6">
        <v>356.07166666666598</v>
      </c>
      <c r="X6" t="s">
        <v>1100</v>
      </c>
      <c r="Y6">
        <v>125615.681666666</v>
      </c>
      <c r="Z6" s="4">
        <f>$Y$6/SUM($Y$2:$Y$7)</f>
        <v>0.12441025022454931</v>
      </c>
    </row>
    <row r="7" spans="1:26" x14ac:dyDescent="0.3">
      <c r="A7" t="s">
        <v>58</v>
      </c>
      <c r="B7">
        <v>53611</v>
      </c>
      <c r="C7" s="6">
        <f t="shared" si="0"/>
        <v>6.7013749999999997E-2</v>
      </c>
      <c r="F7" t="s">
        <v>58</v>
      </c>
      <c r="G7">
        <v>67646.490000000005</v>
      </c>
      <c r="H7" s="6">
        <f t="shared" si="1"/>
        <v>6.6997341701690957E-2</v>
      </c>
      <c r="K7" t="s">
        <v>58</v>
      </c>
      <c r="L7">
        <v>3.9446083523789701</v>
      </c>
      <c r="N7" t="s">
        <v>97</v>
      </c>
      <c r="O7">
        <v>330.04</v>
      </c>
      <c r="X7" t="s">
        <v>1102</v>
      </c>
      <c r="Y7">
        <v>126213.221666666</v>
      </c>
      <c r="Z7" s="4">
        <f>$Y$7/SUM($Y$2:$Y$7)</f>
        <v>0.12500205611958434</v>
      </c>
    </row>
    <row r="8" spans="1:26" x14ac:dyDescent="0.3">
      <c r="A8" t="s">
        <v>59</v>
      </c>
      <c r="B8">
        <v>2135</v>
      </c>
      <c r="C8" s="6">
        <f t="shared" si="0"/>
        <v>2.6687500000000001E-3</v>
      </c>
      <c r="F8" t="s">
        <v>59</v>
      </c>
      <c r="G8">
        <v>2672.3033333333301</v>
      </c>
      <c r="H8" s="6">
        <f t="shared" si="1"/>
        <v>2.6466594135763862E-3</v>
      </c>
      <c r="K8" t="s">
        <v>59</v>
      </c>
      <c r="L8">
        <v>3.9094202898550701</v>
      </c>
      <c r="N8" t="s">
        <v>98</v>
      </c>
      <c r="O8">
        <v>342.22333333333302</v>
      </c>
      <c r="R8" s="7" t="s">
        <v>1095</v>
      </c>
      <c r="S8" s="7"/>
    </row>
    <row r="9" spans="1:26" x14ac:dyDescent="0.3">
      <c r="A9" t="s">
        <v>60</v>
      </c>
      <c r="B9">
        <v>51447</v>
      </c>
      <c r="C9" s="6">
        <f t="shared" si="0"/>
        <v>6.4308749999999998E-2</v>
      </c>
      <c r="F9" t="s">
        <v>60</v>
      </c>
      <c r="G9">
        <v>64979.0116666666</v>
      </c>
      <c r="H9" s="6">
        <f t="shared" si="1"/>
        <v>6.4355460986517191E-2</v>
      </c>
      <c r="K9" t="s">
        <v>60</v>
      </c>
      <c r="L9">
        <v>3.9463162672083998</v>
      </c>
      <c r="N9" t="s">
        <v>99</v>
      </c>
      <c r="O9">
        <v>365.60500000000002</v>
      </c>
      <c r="R9">
        <v>1009689.1649999991</v>
      </c>
    </row>
    <row r="10" spans="1:26" x14ac:dyDescent="0.3">
      <c r="A10" t="s">
        <v>61</v>
      </c>
      <c r="B10">
        <v>2098</v>
      </c>
      <c r="C10" s="6">
        <f t="shared" si="0"/>
        <v>2.6224999999999998E-3</v>
      </c>
      <c r="F10" t="s">
        <v>61</v>
      </c>
      <c r="G10">
        <v>2687.95166666666</v>
      </c>
      <c r="H10" s="6">
        <f t="shared" si="1"/>
        <v>2.6621575825929171E-3</v>
      </c>
      <c r="K10" t="s">
        <v>61</v>
      </c>
      <c r="L10">
        <v>3.9432962374138798</v>
      </c>
      <c r="N10" t="s">
        <v>100</v>
      </c>
      <c r="O10">
        <v>355.43666666666599</v>
      </c>
    </row>
    <row r="11" spans="1:26" x14ac:dyDescent="0.3">
      <c r="A11" t="s">
        <v>62</v>
      </c>
      <c r="B11">
        <v>49129</v>
      </c>
      <c r="C11" s="6">
        <f t="shared" si="0"/>
        <v>6.1411250000000001E-2</v>
      </c>
      <c r="F11" t="s">
        <v>62</v>
      </c>
      <c r="G11">
        <v>62106.266666666597</v>
      </c>
      <c r="H11" s="6">
        <f t="shared" si="1"/>
        <v>6.1510283381783756E-2</v>
      </c>
      <c r="K11" t="s">
        <v>62</v>
      </c>
      <c r="L11">
        <v>3.9420960028873</v>
      </c>
      <c r="N11" t="s">
        <v>101</v>
      </c>
      <c r="O11">
        <v>331.02166666666602</v>
      </c>
    </row>
    <row r="12" spans="1:26" x14ac:dyDescent="0.3">
      <c r="A12" t="s">
        <v>63</v>
      </c>
      <c r="B12">
        <v>2450</v>
      </c>
      <c r="C12" s="6">
        <f t="shared" si="0"/>
        <v>3.0625000000000001E-3</v>
      </c>
      <c r="F12" t="s">
        <v>63</v>
      </c>
      <c r="G12">
        <v>3139.7366666666599</v>
      </c>
      <c r="H12" s="6">
        <f t="shared" si="1"/>
        <v>3.1096071697141177E-3</v>
      </c>
      <c r="K12" t="s">
        <v>63</v>
      </c>
      <c r="L12">
        <v>3.9358047016274802</v>
      </c>
      <c r="N12" t="s">
        <v>102</v>
      </c>
      <c r="O12">
        <v>335.06333333333299</v>
      </c>
      <c r="X12" s="7" t="s">
        <v>1103</v>
      </c>
      <c r="Y12" s="7" t="s">
        <v>1104</v>
      </c>
      <c r="Z12" s="7" t="s">
        <v>1105</v>
      </c>
    </row>
    <row r="13" spans="1:26" x14ac:dyDescent="0.3">
      <c r="A13" t="s">
        <v>64</v>
      </c>
      <c r="B13">
        <v>50226</v>
      </c>
      <c r="C13" s="6">
        <f t="shared" si="0"/>
        <v>6.2782500000000005E-2</v>
      </c>
      <c r="F13" t="s">
        <v>64</v>
      </c>
      <c r="G13">
        <v>63345.72</v>
      </c>
      <c r="H13" s="6">
        <f t="shared" si="1"/>
        <v>6.2737842690428411E-2</v>
      </c>
      <c r="K13" t="s">
        <v>64</v>
      </c>
      <c r="L13">
        <v>3.9436523200035301</v>
      </c>
      <c r="N13" t="s">
        <v>103</v>
      </c>
      <c r="O13">
        <v>321.14</v>
      </c>
      <c r="R13" s="7" t="s">
        <v>1096</v>
      </c>
      <c r="S13" s="7"/>
      <c r="X13" t="s">
        <v>15</v>
      </c>
      <c r="Y13">
        <v>7012555.2999999998</v>
      </c>
      <c r="Z13" s="4">
        <f t="shared" ref="Z13:Z18" si="2">Y13/SUM($Y$13:$Y$18)</f>
        <v>0.11575435858684953</v>
      </c>
    </row>
    <row r="14" spans="1:26" x14ac:dyDescent="0.3">
      <c r="A14" t="s">
        <v>65</v>
      </c>
      <c r="B14">
        <v>2459</v>
      </c>
      <c r="C14" s="6">
        <f t="shared" si="0"/>
        <v>3.0737500000000001E-3</v>
      </c>
      <c r="F14" t="s">
        <v>65</v>
      </c>
      <c r="G14">
        <v>3085.1433333333298</v>
      </c>
      <c r="H14" s="6">
        <f t="shared" si="1"/>
        <v>3.055537724160218E-3</v>
      </c>
      <c r="K14" t="s">
        <v>65</v>
      </c>
      <c r="L14">
        <v>3.9336941813261102</v>
      </c>
      <c r="N14" t="s">
        <v>104</v>
      </c>
      <c r="O14">
        <v>367.29833333333301</v>
      </c>
      <c r="R14">
        <v>1009.70599343322</v>
      </c>
      <c r="X14" t="s">
        <v>14</v>
      </c>
      <c r="Y14">
        <v>201266.8</v>
      </c>
      <c r="Z14" s="4">
        <f t="shared" si="2"/>
        <v>3.3222567726243421E-3</v>
      </c>
    </row>
    <row r="15" spans="1:26" x14ac:dyDescent="0.3">
      <c r="A15" t="s">
        <v>66</v>
      </c>
      <c r="B15">
        <v>56387</v>
      </c>
      <c r="C15" s="6">
        <f t="shared" si="0"/>
        <v>7.0483749999999998E-2</v>
      </c>
      <c r="F15" t="s">
        <v>66</v>
      </c>
      <c r="G15">
        <v>71137.675000000003</v>
      </c>
      <c r="H15" s="6">
        <f t="shared" si="1"/>
        <v>7.0455024641172634E-2</v>
      </c>
      <c r="K15" t="s">
        <v>66</v>
      </c>
      <c r="L15">
        <v>3.9466471842666402</v>
      </c>
      <c r="N15" t="s">
        <v>105</v>
      </c>
      <c r="O15">
        <v>310.35166666666601</v>
      </c>
      <c r="R15">
        <f>R14/60</f>
        <v>16.828433223887</v>
      </c>
      <c r="X15" t="s">
        <v>16</v>
      </c>
      <c r="Y15">
        <v>8756604.4000000004</v>
      </c>
      <c r="Z15" s="4">
        <f t="shared" si="2"/>
        <v>0.14454290659508731</v>
      </c>
    </row>
    <row r="16" spans="1:26" x14ac:dyDescent="0.3">
      <c r="A16" t="s">
        <v>67</v>
      </c>
      <c r="B16">
        <v>2146</v>
      </c>
      <c r="C16" s="6">
        <f t="shared" si="0"/>
        <v>2.6825E-3</v>
      </c>
      <c r="F16" t="s">
        <v>67</v>
      </c>
      <c r="G16">
        <v>2703.96</v>
      </c>
      <c r="H16" s="6">
        <f t="shared" si="1"/>
        <v>2.6780122969825085E-3</v>
      </c>
      <c r="K16" t="s">
        <v>67</v>
      </c>
      <c r="L16">
        <v>3.9400516795865599</v>
      </c>
      <c r="N16" t="s">
        <v>106</v>
      </c>
      <c r="O16">
        <v>317.05</v>
      </c>
      <c r="X16" t="s">
        <v>17</v>
      </c>
      <c r="Y16">
        <v>8885412.4000000004</v>
      </c>
      <c r="Z16" s="4">
        <f t="shared" si="2"/>
        <v>0.14666910550304529</v>
      </c>
    </row>
    <row r="17" spans="1:26" x14ac:dyDescent="0.3">
      <c r="A17" t="s">
        <v>68</v>
      </c>
      <c r="B17">
        <v>42175</v>
      </c>
      <c r="C17" s="6">
        <f t="shared" si="0"/>
        <v>5.2718750000000002E-2</v>
      </c>
      <c r="F17" t="s">
        <v>68</v>
      </c>
      <c r="G17">
        <v>53200.898333333302</v>
      </c>
      <c r="H17" s="6">
        <f t="shared" si="1"/>
        <v>5.2690372619115231E-2</v>
      </c>
      <c r="K17" t="s">
        <v>68</v>
      </c>
      <c r="L17">
        <v>3.93983495478393</v>
      </c>
      <c r="N17" t="s">
        <v>107</v>
      </c>
      <c r="O17">
        <v>303.16000000000003</v>
      </c>
      <c r="X17" t="s">
        <v>19</v>
      </c>
      <c r="Y17">
        <v>18196274.199999999</v>
      </c>
      <c r="Z17" s="4">
        <f t="shared" si="2"/>
        <v>0.30036098948003143</v>
      </c>
    </row>
    <row r="18" spans="1:26" x14ac:dyDescent="0.3">
      <c r="A18" t="s">
        <v>69</v>
      </c>
      <c r="B18">
        <v>2165</v>
      </c>
      <c r="C18" s="6">
        <f t="shared" si="0"/>
        <v>2.7062499999999999E-3</v>
      </c>
      <c r="F18" t="s">
        <v>69</v>
      </c>
      <c r="G18">
        <v>2711.6</v>
      </c>
      <c r="H18" s="6">
        <f t="shared" si="1"/>
        <v>2.6855789821216918E-3</v>
      </c>
      <c r="K18" t="s">
        <v>69</v>
      </c>
      <c r="L18">
        <v>3.93916155419222</v>
      </c>
      <c r="N18" t="s">
        <v>108</v>
      </c>
      <c r="O18">
        <v>317.15833333333302</v>
      </c>
      <c r="X18" t="s">
        <v>18</v>
      </c>
      <c r="Y18">
        <v>17529236.800000001</v>
      </c>
      <c r="Z18" s="4">
        <f t="shared" si="2"/>
        <v>0.28935038306236227</v>
      </c>
    </row>
    <row r="19" spans="1:26" x14ac:dyDescent="0.3">
      <c r="A19" t="s">
        <v>70</v>
      </c>
      <c r="B19">
        <v>46309</v>
      </c>
      <c r="C19" s="6">
        <f t="shared" si="0"/>
        <v>5.788625E-2</v>
      </c>
      <c r="F19" t="s">
        <v>70</v>
      </c>
      <c r="G19">
        <v>58460.158333333296</v>
      </c>
      <c r="H19" s="6">
        <f t="shared" si="1"/>
        <v>5.7899163782086656E-2</v>
      </c>
      <c r="K19" t="s">
        <v>70</v>
      </c>
      <c r="L19">
        <v>3.94252956273536</v>
      </c>
      <c r="N19" t="s">
        <v>109</v>
      </c>
      <c r="O19">
        <v>311.005</v>
      </c>
    </row>
    <row r="20" spans="1:26" x14ac:dyDescent="0.3">
      <c r="A20" t="s">
        <v>71</v>
      </c>
      <c r="B20">
        <v>1915</v>
      </c>
      <c r="C20" s="6">
        <f t="shared" si="0"/>
        <v>2.39375E-3</v>
      </c>
      <c r="F20" t="s">
        <v>71</v>
      </c>
      <c r="G20">
        <v>2474.0116666666599</v>
      </c>
      <c r="H20" s="6">
        <f t="shared" si="1"/>
        <v>2.4502705906195008E-3</v>
      </c>
      <c r="K20" t="s">
        <v>71</v>
      </c>
      <c r="L20">
        <v>3.9474595842956099</v>
      </c>
      <c r="N20" t="s">
        <v>110</v>
      </c>
      <c r="O20">
        <v>352.18666666666599</v>
      </c>
    </row>
    <row r="21" spans="1:26" x14ac:dyDescent="0.3">
      <c r="A21" t="s">
        <v>72</v>
      </c>
      <c r="B21">
        <v>46258</v>
      </c>
      <c r="C21" s="6">
        <f t="shared" si="0"/>
        <v>5.7822499999999999E-2</v>
      </c>
      <c r="F21" t="s">
        <v>72</v>
      </c>
      <c r="G21">
        <v>58206.141666666597</v>
      </c>
      <c r="H21" s="6">
        <f t="shared" si="1"/>
        <v>5.7647584706592959E-2</v>
      </c>
      <c r="K21" t="s">
        <v>72</v>
      </c>
      <c r="L21">
        <v>3.9417519963549998</v>
      </c>
      <c r="N21" t="s">
        <v>111</v>
      </c>
      <c r="O21">
        <v>379.29</v>
      </c>
    </row>
    <row r="22" spans="1:26" x14ac:dyDescent="0.3">
      <c r="A22" t="s">
        <v>73</v>
      </c>
      <c r="B22">
        <v>2415</v>
      </c>
      <c r="C22" s="6">
        <f t="shared" si="0"/>
        <v>3.0187500000000002E-3</v>
      </c>
      <c r="F22" t="s">
        <v>73</v>
      </c>
      <c r="G22">
        <v>3037.5616666666601</v>
      </c>
      <c r="H22" s="6">
        <f t="shared" si="1"/>
        <v>3.0084126600156804E-3</v>
      </c>
      <c r="K22" t="s">
        <v>73</v>
      </c>
      <c r="L22">
        <v>3.9310344827586201</v>
      </c>
      <c r="N22" t="s">
        <v>112</v>
      </c>
      <c r="O22">
        <v>339.54833333333301</v>
      </c>
    </row>
    <row r="23" spans="1:26" x14ac:dyDescent="0.3">
      <c r="A23" t="s">
        <v>74</v>
      </c>
      <c r="B23">
        <v>57995</v>
      </c>
      <c r="C23" s="6">
        <f t="shared" si="0"/>
        <v>7.2493749999999996E-2</v>
      </c>
      <c r="F23" t="s">
        <v>74</v>
      </c>
      <c r="G23">
        <v>73103.654999999999</v>
      </c>
      <c r="H23" s="6">
        <f t="shared" si="1"/>
        <v>7.2402138731477841E-2</v>
      </c>
      <c r="K23" t="s">
        <v>74</v>
      </c>
      <c r="L23">
        <v>3.9388785797639301</v>
      </c>
      <c r="N23" t="s">
        <v>113</v>
      </c>
      <c r="O23">
        <v>333.96666666666601</v>
      </c>
    </row>
    <row r="24" spans="1:26" x14ac:dyDescent="0.3">
      <c r="A24" t="s">
        <v>75</v>
      </c>
      <c r="B24">
        <v>2889</v>
      </c>
      <c r="C24" s="6">
        <f t="shared" si="0"/>
        <v>3.6112499999999999E-3</v>
      </c>
      <c r="F24" t="s">
        <v>75</v>
      </c>
      <c r="G24">
        <v>3641.32</v>
      </c>
      <c r="H24" s="6">
        <f t="shared" si="1"/>
        <v>3.6063772161009583E-3</v>
      </c>
      <c r="K24" t="s">
        <v>75</v>
      </c>
      <c r="L24">
        <v>3.9571373899732101</v>
      </c>
      <c r="N24" t="s">
        <v>114</v>
      </c>
      <c r="O24">
        <v>296.21166666666602</v>
      </c>
    </row>
    <row r="25" spans="1:26" x14ac:dyDescent="0.3">
      <c r="A25" t="s">
        <v>76</v>
      </c>
      <c r="B25">
        <v>50126</v>
      </c>
      <c r="C25" s="6">
        <f t="shared" si="0"/>
        <v>6.2657500000000005E-2</v>
      </c>
      <c r="F25" t="s">
        <v>76</v>
      </c>
      <c r="G25">
        <v>63344.175000000003</v>
      </c>
      <c r="H25" s="6">
        <f t="shared" si="1"/>
        <v>6.2736312516535747E-2</v>
      </c>
      <c r="K25" t="s">
        <v>76</v>
      </c>
      <c r="L25">
        <v>3.9376326963906498</v>
      </c>
      <c r="N25" t="s">
        <v>115</v>
      </c>
      <c r="O25">
        <v>364.07</v>
      </c>
    </row>
    <row r="26" spans="1:26" x14ac:dyDescent="0.3">
      <c r="A26" t="s">
        <v>77</v>
      </c>
      <c r="B26">
        <v>2155</v>
      </c>
      <c r="C26" s="6">
        <f t="shared" si="0"/>
        <v>2.69375E-3</v>
      </c>
      <c r="F26" t="s">
        <v>77</v>
      </c>
      <c r="G26">
        <v>2714.395</v>
      </c>
      <c r="H26" s="6">
        <f t="shared" si="1"/>
        <v>2.6883471607819036E-3</v>
      </c>
      <c r="K26" t="s">
        <v>77</v>
      </c>
      <c r="L26">
        <v>3.9557702084392399</v>
      </c>
      <c r="N26" t="s">
        <v>116</v>
      </c>
      <c r="O26">
        <v>348.87666666666598</v>
      </c>
    </row>
    <row r="27" spans="1:26" x14ac:dyDescent="0.3">
      <c r="A27" t="s">
        <v>78</v>
      </c>
      <c r="B27">
        <v>57658</v>
      </c>
      <c r="C27" s="6">
        <f t="shared" si="0"/>
        <v>7.2072499999999998E-2</v>
      </c>
      <c r="F27" t="s">
        <v>78</v>
      </c>
      <c r="G27">
        <v>72767.963333333304</v>
      </c>
      <c r="H27" s="6">
        <f t="shared" si="1"/>
        <v>7.2069668424473321E-2</v>
      </c>
      <c r="K27" t="s">
        <v>78</v>
      </c>
      <c r="L27">
        <v>3.94055991214042</v>
      </c>
      <c r="N27" t="s">
        <v>117</v>
      </c>
      <c r="O27">
        <v>349.83499999999998</v>
      </c>
    </row>
    <row r="28" spans="1:26" x14ac:dyDescent="0.3">
      <c r="A28" t="s">
        <v>79</v>
      </c>
      <c r="B28">
        <v>1874</v>
      </c>
      <c r="C28" s="6">
        <f t="shared" si="0"/>
        <v>2.3425E-3</v>
      </c>
      <c r="F28" t="s">
        <v>79</v>
      </c>
      <c r="G28">
        <v>2338.4450000000002</v>
      </c>
      <c r="H28" s="6">
        <f t="shared" si="1"/>
        <v>2.3160048468976102E-3</v>
      </c>
      <c r="K28" t="s">
        <v>79</v>
      </c>
      <c r="L28">
        <v>3.9527794381350798</v>
      </c>
      <c r="N28" t="s">
        <v>118</v>
      </c>
      <c r="O28">
        <v>331.58166666666602</v>
      </c>
    </row>
    <row r="29" spans="1:26" x14ac:dyDescent="0.3">
      <c r="A29" t="s">
        <v>80</v>
      </c>
      <c r="B29">
        <v>49877</v>
      </c>
      <c r="C29" s="6">
        <f t="shared" si="0"/>
        <v>6.2346249999999999E-2</v>
      </c>
      <c r="F29" t="s">
        <v>80</v>
      </c>
      <c r="G29">
        <v>62836.278333333299</v>
      </c>
      <c r="H29" s="6">
        <f t="shared" si="1"/>
        <v>6.2233289720736301E-2</v>
      </c>
      <c r="K29" t="s">
        <v>80</v>
      </c>
      <c r="L29">
        <v>3.9424518022725699</v>
      </c>
      <c r="N29" t="s">
        <v>119</v>
      </c>
      <c r="O29">
        <v>373.24666666666599</v>
      </c>
    </row>
    <row r="30" spans="1:26" x14ac:dyDescent="0.3">
      <c r="A30" t="s">
        <v>81</v>
      </c>
      <c r="B30">
        <v>1095</v>
      </c>
      <c r="C30" s="6">
        <f t="shared" si="0"/>
        <v>1.36875E-3</v>
      </c>
      <c r="F30" t="s">
        <v>81</v>
      </c>
      <c r="G30">
        <v>1372.2349999999999</v>
      </c>
      <c r="H30" s="6">
        <f t="shared" si="1"/>
        <v>1.3590667777444163E-3</v>
      </c>
      <c r="K30" t="s">
        <v>81</v>
      </c>
      <c r="L30">
        <v>3.9400406504065</v>
      </c>
      <c r="N30" t="s">
        <v>120</v>
      </c>
      <c r="O30">
        <v>345.183333333333</v>
      </c>
    </row>
    <row r="31" spans="1:26" x14ac:dyDescent="0.3">
      <c r="A31" t="s">
        <v>82</v>
      </c>
      <c r="B31">
        <v>50495</v>
      </c>
      <c r="C31" s="6">
        <f t="shared" si="0"/>
        <v>6.3118750000000001E-2</v>
      </c>
      <c r="F31" t="s">
        <v>82</v>
      </c>
      <c r="G31">
        <v>63843.03</v>
      </c>
      <c r="H31" s="6">
        <f t="shared" si="1"/>
        <v>6.3230380411183298E-2</v>
      </c>
      <c r="K31" t="s">
        <v>82</v>
      </c>
      <c r="L31">
        <v>3.9458188689194502</v>
      </c>
      <c r="N31" t="s">
        <v>121</v>
      </c>
      <c r="O31">
        <v>322.505</v>
      </c>
    </row>
    <row r="32" spans="1:26" x14ac:dyDescent="0.3">
      <c r="N32" t="s">
        <v>122</v>
      </c>
      <c r="O32">
        <v>356.25333333333299</v>
      </c>
    </row>
    <row r="33" spans="14:15" x14ac:dyDescent="0.3">
      <c r="N33" t="s">
        <v>123</v>
      </c>
      <c r="O33">
        <v>323.87</v>
      </c>
    </row>
    <row r="34" spans="14:15" x14ac:dyDescent="0.3">
      <c r="N34" t="s">
        <v>124</v>
      </c>
      <c r="O34">
        <v>338.51</v>
      </c>
    </row>
    <row r="35" spans="14:15" x14ac:dyDescent="0.3">
      <c r="N35" t="s">
        <v>125</v>
      </c>
      <c r="O35">
        <v>296.70833333333297</v>
      </c>
    </row>
    <row r="36" spans="14:15" x14ac:dyDescent="0.3">
      <c r="N36" t="s">
        <v>126</v>
      </c>
      <c r="O36">
        <v>319.26333333333298</v>
      </c>
    </row>
    <row r="37" spans="14:15" x14ac:dyDescent="0.3">
      <c r="N37" t="s">
        <v>127</v>
      </c>
      <c r="O37">
        <v>333.40333333333302</v>
      </c>
    </row>
    <row r="38" spans="14:15" x14ac:dyDescent="0.3">
      <c r="N38" t="s">
        <v>128</v>
      </c>
      <c r="O38">
        <v>347.25666666666598</v>
      </c>
    </row>
    <row r="39" spans="14:15" x14ac:dyDescent="0.3">
      <c r="N39" t="s">
        <v>129</v>
      </c>
      <c r="O39">
        <v>333.38166666666598</v>
      </c>
    </row>
    <row r="40" spans="14:15" x14ac:dyDescent="0.3">
      <c r="N40" t="s">
        <v>130</v>
      </c>
      <c r="O40">
        <v>315.96333333333303</v>
      </c>
    </row>
    <row r="41" spans="14:15" x14ac:dyDescent="0.3">
      <c r="N41" t="s">
        <v>131</v>
      </c>
      <c r="O41">
        <v>352.29333333333301</v>
      </c>
    </row>
    <row r="42" spans="14:15" x14ac:dyDescent="0.3">
      <c r="N42" t="s">
        <v>132</v>
      </c>
      <c r="O42">
        <v>299.28500000000003</v>
      </c>
    </row>
    <row r="43" spans="14:15" x14ac:dyDescent="0.3">
      <c r="N43" t="s">
        <v>133</v>
      </c>
      <c r="O43">
        <v>360.34333333333302</v>
      </c>
    </row>
    <row r="44" spans="14:15" x14ac:dyDescent="0.3">
      <c r="N44" t="s">
        <v>134</v>
      </c>
      <c r="O44">
        <v>297.39833333333303</v>
      </c>
    </row>
    <row r="45" spans="14:15" x14ac:dyDescent="0.3">
      <c r="N45" t="s">
        <v>135</v>
      </c>
      <c r="O45">
        <v>361.63499999999999</v>
      </c>
    </row>
    <row r="46" spans="14:15" x14ac:dyDescent="0.3">
      <c r="N46" t="s">
        <v>136</v>
      </c>
      <c r="O46">
        <v>334.28500000000003</v>
      </c>
    </row>
    <row r="47" spans="14:15" x14ac:dyDescent="0.3">
      <c r="N47" t="s">
        <v>137</v>
      </c>
      <c r="O47">
        <v>326.51833333333298</v>
      </c>
    </row>
    <row r="48" spans="14:15" x14ac:dyDescent="0.3">
      <c r="N48" t="s">
        <v>138</v>
      </c>
      <c r="O48">
        <v>325.81</v>
      </c>
    </row>
    <row r="49" spans="14:15" x14ac:dyDescent="0.3">
      <c r="N49" t="s">
        <v>139</v>
      </c>
      <c r="O49">
        <v>329.72666666666601</v>
      </c>
    </row>
    <row r="50" spans="14:15" x14ac:dyDescent="0.3">
      <c r="N50" t="s">
        <v>140</v>
      </c>
      <c r="O50">
        <v>330.15499999999997</v>
      </c>
    </row>
    <row r="51" spans="14:15" x14ac:dyDescent="0.3">
      <c r="N51" t="s">
        <v>141</v>
      </c>
      <c r="O51">
        <v>373.77833333333302</v>
      </c>
    </row>
    <row r="52" spans="14:15" x14ac:dyDescent="0.3">
      <c r="N52" t="s">
        <v>142</v>
      </c>
      <c r="O52">
        <v>355.41500000000002</v>
      </c>
    </row>
    <row r="53" spans="14:15" x14ac:dyDescent="0.3">
      <c r="N53" t="s">
        <v>143</v>
      </c>
      <c r="O53">
        <v>328.22666666666601</v>
      </c>
    </row>
    <row r="54" spans="14:15" x14ac:dyDescent="0.3">
      <c r="N54" t="s">
        <v>144</v>
      </c>
      <c r="O54">
        <v>360.416666666666</v>
      </c>
    </row>
    <row r="55" spans="14:15" x14ac:dyDescent="0.3">
      <c r="N55" t="s">
        <v>145</v>
      </c>
      <c r="O55">
        <v>319.558333333333</v>
      </c>
    </row>
    <row r="56" spans="14:15" x14ac:dyDescent="0.3">
      <c r="N56" t="s">
        <v>146</v>
      </c>
      <c r="O56">
        <v>335.988333333333</v>
      </c>
    </row>
    <row r="57" spans="14:15" x14ac:dyDescent="0.3">
      <c r="N57" t="s">
        <v>147</v>
      </c>
      <c r="O57">
        <v>370.08166666666602</v>
      </c>
    </row>
    <row r="58" spans="14:15" x14ac:dyDescent="0.3">
      <c r="N58" t="s">
        <v>148</v>
      </c>
      <c r="O58">
        <v>344.25666666666598</v>
      </c>
    </row>
    <row r="59" spans="14:15" x14ac:dyDescent="0.3">
      <c r="N59" t="s">
        <v>149</v>
      </c>
      <c r="O59">
        <v>312.26333333333298</v>
      </c>
    </row>
    <row r="60" spans="14:15" x14ac:dyDescent="0.3">
      <c r="N60" t="s">
        <v>150</v>
      </c>
      <c r="O60">
        <v>349.00166666666598</v>
      </c>
    </row>
    <row r="61" spans="14:15" x14ac:dyDescent="0.3">
      <c r="N61" t="s">
        <v>151</v>
      </c>
      <c r="O61">
        <v>361.70666666666602</v>
      </c>
    </row>
    <row r="62" spans="14:15" x14ac:dyDescent="0.3">
      <c r="N62" t="s">
        <v>152</v>
      </c>
      <c r="O62">
        <v>304.30166666666599</v>
      </c>
    </row>
    <row r="63" spans="14:15" x14ac:dyDescent="0.3">
      <c r="N63" t="s">
        <v>153</v>
      </c>
      <c r="O63">
        <v>353.70499999999998</v>
      </c>
    </row>
    <row r="64" spans="14:15" x14ac:dyDescent="0.3">
      <c r="N64" t="s">
        <v>154</v>
      </c>
      <c r="O64">
        <v>375.04</v>
      </c>
    </row>
    <row r="65" spans="14:15" x14ac:dyDescent="0.3">
      <c r="N65" t="s">
        <v>155</v>
      </c>
      <c r="O65">
        <v>334.40333333333302</v>
      </c>
    </row>
    <row r="66" spans="14:15" x14ac:dyDescent="0.3">
      <c r="N66" t="s">
        <v>156</v>
      </c>
      <c r="O66">
        <v>372.09666666666601</v>
      </c>
    </row>
    <row r="67" spans="14:15" x14ac:dyDescent="0.3">
      <c r="N67" t="s">
        <v>157</v>
      </c>
      <c r="O67">
        <v>322.14499999999998</v>
      </c>
    </row>
    <row r="68" spans="14:15" x14ac:dyDescent="0.3">
      <c r="N68" t="s">
        <v>158</v>
      </c>
      <c r="O68">
        <v>330.19166666666598</v>
      </c>
    </row>
    <row r="69" spans="14:15" x14ac:dyDescent="0.3">
      <c r="N69" t="s">
        <v>159</v>
      </c>
      <c r="O69">
        <v>356.09</v>
      </c>
    </row>
    <row r="70" spans="14:15" x14ac:dyDescent="0.3">
      <c r="N70" t="s">
        <v>160</v>
      </c>
      <c r="O70">
        <v>324.06833333333299</v>
      </c>
    </row>
    <row r="71" spans="14:15" x14ac:dyDescent="0.3">
      <c r="N71" t="s">
        <v>161</v>
      </c>
      <c r="O71">
        <v>350.31833333333299</v>
      </c>
    </row>
    <row r="72" spans="14:15" x14ac:dyDescent="0.3">
      <c r="N72" t="s">
        <v>162</v>
      </c>
      <c r="O72">
        <v>299.52499999999998</v>
      </c>
    </row>
    <row r="73" spans="14:15" x14ac:dyDescent="0.3">
      <c r="N73" t="s">
        <v>163</v>
      </c>
      <c r="O73">
        <v>351.683333333333</v>
      </c>
    </row>
    <row r="74" spans="14:15" x14ac:dyDescent="0.3">
      <c r="N74" t="s">
        <v>164</v>
      </c>
      <c r="O74">
        <v>297.35500000000002</v>
      </c>
    </row>
    <row r="75" spans="14:15" x14ac:dyDescent="0.3">
      <c r="N75" t="s">
        <v>165</v>
      </c>
      <c r="O75">
        <v>352.95</v>
      </c>
    </row>
    <row r="76" spans="14:15" x14ac:dyDescent="0.3">
      <c r="N76" t="s">
        <v>166</v>
      </c>
      <c r="O76">
        <v>331.67</v>
      </c>
    </row>
    <row r="77" spans="14:15" x14ac:dyDescent="0.3">
      <c r="N77" t="s">
        <v>167</v>
      </c>
      <c r="O77">
        <v>372.24666666666599</v>
      </c>
    </row>
    <row r="78" spans="14:15" x14ac:dyDescent="0.3">
      <c r="N78" t="s">
        <v>168</v>
      </c>
      <c r="O78">
        <v>357.78333333333302</v>
      </c>
    </row>
    <row r="79" spans="14:15" x14ac:dyDescent="0.3">
      <c r="N79" t="s">
        <v>169</v>
      </c>
      <c r="O79">
        <v>303.58499999999998</v>
      </c>
    </row>
    <row r="80" spans="14:15" x14ac:dyDescent="0.3">
      <c r="N80" t="s">
        <v>170</v>
      </c>
      <c r="O80">
        <v>361.70166666666597</v>
      </c>
    </row>
    <row r="81" spans="14:15" x14ac:dyDescent="0.3">
      <c r="N81" t="s">
        <v>171</v>
      </c>
      <c r="O81">
        <v>338.505</v>
      </c>
    </row>
    <row r="82" spans="14:15" x14ac:dyDescent="0.3">
      <c r="N82" t="s">
        <v>172</v>
      </c>
      <c r="O82">
        <v>314.363333333333</v>
      </c>
    </row>
    <row r="83" spans="14:15" x14ac:dyDescent="0.3">
      <c r="N83" t="s">
        <v>173</v>
      </c>
      <c r="O83">
        <v>342.52666666666602</v>
      </c>
    </row>
    <row r="84" spans="14:15" x14ac:dyDescent="0.3">
      <c r="N84" t="s">
        <v>174</v>
      </c>
      <c r="O84">
        <v>355.52666666666602</v>
      </c>
    </row>
    <row r="85" spans="14:15" x14ac:dyDescent="0.3">
      <c r="N85" t="s">
        <v>175</v>
      </c>
      <c r="O85">
        <v>316.15499999999997</v>
      </c>
    </row>
    <row r="86" spans="14:15" x14ac:dyDescent="0.3">
      <c r="N86" t="s">
        <v>176</v>
      </c>
      <c r="O86">
        <v>312.64166666666603</v>
      </c>
    </row>
    <row r="87" spans="14:15" x14ac:dyDescent="0.3">
      <c r="N87" t="s">
        <v>177</v>
      </c>
      <c r="O87">
        <v>370.65666666666601</v>
      </c>
    </row>
    <row r="88" spans="14:15" x14ac:dyDescent="0.3">
      <c r="N88" t="s">
        <v>178</v>
      </c>
      <c r="O88">
        <v>351.69833333333298</v>
      </c>
    </row>
    <row r="89" spans="14:15" x14ac:dyDescent="0.3">
      <c r="N89" t="s">
        <v>179</v>
      </c>
      <c r="O89">
        <v>333.66833333333301</v>
      </c>
    </row>
    <row r="90" spans="14:15" x14ac:dyDescent="0.3">
      <c r="N90" t="s">
        <v>180</v>
      </c>
      <c r="O90">
        <v>356.87833333333299</v>
      </c>
    </row>
    <row r="91" spans="14:15" x14ac:dyDescent="0.3">
      <c r="N91" t="s">
        <v>181</v>
      </c>
      <c r="O91">
        <v>333.34166666666601</v>
      </c>
    </row>
    <row r="92" spans="14:15" x14ac:dyDescent="0.3">
      <c r="N92" t="s">
        <v>182</v>
      </c>
      <c r="O92">
        <v>339.93166666666599</v>
      </c>
    </row>
    <row r="93" spans="14:15" x14ac:dyDescent="0.3">
      <c r="N93" t="s">
        <v>183</v>
      </c>
      <c r="O93">
        <v>328.83499999999998</v>
      </c>
    </row>
    <row r="94" spans="14:15" x14ac:dyDescent="0.3">
      <c r="N94" t="s">
        <v>184</v>
      </c>
      <c r="O94">
        <v>331.56166666666599</v>
      </c>
    </row>
    <row r="95" spans="14:15" x14ac:dyDescent="0.3">
      <c r="N95" t="s">
        <v>185</v>
      </c>
      <c r="O95">
        <v>302.51166666666597</v>
      </c>
    </row>
    <row r="96" spans="14:15" x14ac:dyDescent="0.3">
      <c r="N96" t="s">
        <v>186</v>
      </c>
      <c r="O96">
        <v>323.863333333333</v>
      </c>
    </row>
    <row r="97" spans="14:15" x14ac:dyDescent="0.3">
      <c r="N97" t="s">
        <v>187</v>
      </c>
      <c r="O97">
        <v>343.96499999999997</v>
      </c>
    </row>
    <row r="98" spans="14:15" x14ac:dyDescent="0.3">
      <c r="N98" t="s">
        <v>188</v>
      </c>
      <c r="O98">
        <v>321.72000000000003</v>
      </c>
    </row>
    <row r="99" spans="14:15" x14ac:dyDescent="0.3">
      <c r="N99" t="s">
        <v>189</v>
      </c>
      <c r="O99">
        <v>329.36</v>
      </c>
    </row>
    <row r="100" spans="14:15" x14ac:dyDescent="0.3">
      <c r="N100" t="s">
        <v>190</v>
      </c>
      <c r="O100">
        <v>346.29500000000002</v>
      </c>
    </row>
    <row r="101" spans="14:15" x14ac:dyDescent="0.3">
      <c r="N101" t="s">
        <v>191</v>
      </c>
      <c r="O101">
        <v>325.493333333333</v>
      </c>
    </row>
    <row r="102" spans="14:15" x14ac:dyDescent="0.3">
      <c r="N102" t="s">
        <v>192</v>
      </c>
      <c r="O102">
        <v>311.48333333333301</v>
      </c>
    </row>
    <row r="103" spans="14:15" x14ac:dyDescent="0.3">
      <c r="N103" t="s">
        <v>193</v>
      </c>
      <c r="O103">
        <v>351.14666666666602</v>
      </c>
    </row>
    <row r="104" spans="14:15" x14ac:dyDescent="0.3">
      <c r="N104" t="s">
        <v>194</v>
      </c>
      <c r="O104">
        <v>305.995</v>
      </c>
    </row>
    <row r="105" spans="14:15" x14ac:dyDescent="0.3">
      <c r="N105" t="s">
        <v>195</v>
      </c>
      <c r="O105">
        <v>312.49</v>
      </c>
    </row>
    <row r="106" spans="14:15" x14ac:dyDescent="0.3">
      <c r="N106" t="s">
        <v>196</v>
      </c>
      <c r="O106">
        <v>293.65833333333302</v>
      </c>
    </row>
    <row r="107" spans="14:15" x14ac:dyDescent="0.3">
      <c r="N107" t="s">
        <v>197</v>
      </c>
      <c r="O107">
        <v>298.63166666666598</v>
      </c>
    </row>
    <row r="108" spans="14:15" x14ac:dyDescent="0.3">
      <c r="N108" t="s">
        <v>198</v>
      </c>
      <c r="O108">
        <v>345.541666666666</v>
      </c>
    </row>
    <row r="109" spans="14:15" x14ac:dyDescent="0.3">
      <c r="N109" t="s">
        <v>199</v>
      </c>
      <c r="O109">
        <v>351.166666666666</v>
      </c>
    </row>
    <row r="110" spans="14:15" x14ac:dyDescent="0.3">
      <c r="N110" t="s">
        <v>200</v>
      </c>
      <c r="O110">
        <v>340.34166666666601</v>
      </c>
    </row>
    <row r="111" spans="14:15" x14ac:dyDescent="0.3">
      <c r="N111" t="s">
        <v>201</v>
      </c>
      <c r="O111">
        <v>348.91333333333301</v>
      </c>
    </row>
    <row r="112" spans="14:15" x14ac:dyDescent="0.3">
      <c r="N112" t="s">
        <v>202</v>
      </c>
      <c r="O112">
        <v>321.26</v>
      </c>
    </row>
    <row r="113" spans="14:15" x14ac:dyDescent="0.3">
      <c r="N113" t="s">
        <v>203</v>
      </c>
      <c r="O113">
        <v>340.28666666666601</v>
      </c>
    </row>
    <row r="114" spans="14:15" x14ac:dyDescent="0.3">
      <c r="N114" t="s">
        <v>204</v>
      </c>
      <c r="O114">
        <v>320.08333333333297</v>
      </c>
    </row>
    <row r="115" spans="14:15" x14ac:dyDescent="0.3">
      <c r="N115" t="s">
        <v>205</v>
      </c>
      <c r="O115">
        <v>359.20333333333298</v>
      </c>
    </row>
    <row r="116" spans="14:15" x14ac:dyDescent="0.3">
      <c r="N116" t="s">
        <v>206</v>
      </c>
      <c r="O116">
        <v>298.65499999999997</v>
      </c>
    </row>
    <row r="117" spans="14:15" x14ac:dyDescent="0.3">
      <c r="N117" t="s">
        <v>207</v>
      </c>
      <c r="O117">
        <v>343.31333333333299</v>
      </c>
    </row>
    <row r="118" spans="14:15" x14ac:dyDescent="0.3">
      <c r="N118" t="s">
        <v>208</v>
      </c>
      <c r="O118">
        <v>326.66500000000002</v>
      </c>
    </row>
    <row r="119" spans="14:15" x14ac:dyDescent="0.3">
      <c r="N119" t="s">
        <v>209</v>
      </c>
      <c r="O119">
        <v>325.14499999999998</v>
      </c>
    </row>
    <row r="120" spans="14:15" x14ac:dyDescent="0.3">
      <c r="N120" t="s">
        <v>210</v>
      </c>
      <c r="O120">
        <v>347.303333333333</v>
      </c>
    </row>
    <row r="121" spans="14:15" x14ac:dyDescent="0.3">
      <c r="N121" t="s">
        <v>211</v>
      </c>
      <c r="O121">
        <v>348.58833333333303</v>
      </c>
    </row>
    <row r="122" spans="14:15" x14ac:dyDescent="0.3">
      <c r="N122" t="s">
        <v>212</v>
      </c>
      <c r="O122">
        <v>287.51</v>
      </c>
    </row>
    <row r="123" spans="14:15" x14ac:dyDescent="0.3">
      <c r="N123" t="s">
        <v>213</v>
      </c>
      <c r="O123">
        <v>339.74166666666599</v>
      </c>
    </row>
    <row r="124" spans="14:15" x14ac:dyDescent="0.3">
      <c r="N124" t="s">
        <v>214</v>
      </c>
      <c r="O124">
        <v>321.86</v>
      </c>
    </row>
    <row r="125" spans="14:15" x14ac:dyDescent="0.3">
      <c r="N125" t="s">
        <v>215</v>
      </c>
      <c r="O125">
        <v>318.06333333333299</v>
      </c>
    </row>
    <row r="126" spans="14:15" x14ac:dyDescent="0.3">
      <c r="N126" t="s">
        <v>216</v>
      </c>
      <c r="O126">
        <v>344.05166666666599</v>
      </c>
    </row>
    <row r="127" spans="14:15" x14ac:dyDescent="0.3">
      <c r="N127" t="s">
        <v>217</v>
      </c>
      <c r="O127">
        <v>322.30500000000001</v>
      </c>
    </row>
    <row r="128" spans="14:15" x14ac:dyDescent="0.3">
      <c r="N128" t="s">
        <v>218</v>
      </c>
      <c r="O128">
        <v>292.77666666666602</v>
      </c>
    </row>
    <row r="129" spans="14:15" x14ac:dyDescent="0.3">
      <c r="N129" t="s">
        <v>219</v>
      </c>
      <c r="O129">
        <v>361.53</v>
      </c>
    </row>
    <row r="130" spans="14:15" x14ac:dyDescent="0.3">
      <c r="N130" t="s">
        <v>220</v>
      </c>
      <c r="O130">
        <v>337.65666666666601</v>
      </c>
    </row>
    <row r="131" spans="14:15" x14ac:dyDescent="0.3">
      <c r="N131" t="s">
        <v>221</v>
      </c>
      <c r="O131">
        <v>301.928333333333</v>
      </c>
    </row>
    <row r="132" spans="14:15" x14ac:dyDescent="0.3">
      <c r="N132" t="s">
        <v>222</v>
      </c>
      <c r="O132">
        <v>329.678333333333</v>
      </c>
    </row>
    <row r="133" spans="14:15" x14ac:dyDescent="0.3">
      <c r="N133" t="s">
        <v>223</v>
      </c>
      <c r="O133">
        <v>341.428333333333</v>
      </c>
    </row>
    <row r="134" spans="14:15" x14ac:dyDescent="0.3">
      <c r="N134" t="s">
        <v>224</v>
      </c>
      <c r="O134">
        <v>333.37</v>
      </c>
    </row>
    <row r="135" spans="14:15" x14ac:dyDescent="0.3">
      <c r="N135" t="s">
        <v>225</v>
      </c>
      <c r="O135">
        <v>337.26833333333298</v>
      </c>
    </row>
    <row r="136" spans="14:15" x14ac:dyDescent="0.3">
      <c r="N136" t="s">
        <v>226</v>
      </c>
      <c r="O136">
        <v>339.54833333333301</v>
      </c>
    </row>
    <row r="137" spans="14:15" x14ac:dyDescent="0.3">
      <c r="N137" t="s">
        <v>227</v>
      </c>
      <c r="O137">
        <v>288.21499999999997</v>
      </c>
    </row>
    <row r="138" spans="14:15" x14ac:dyDescent="0.3">
      <c r="N138" t="s">
        <v>228</v>
      </c>
      <c r="O138">
        <v>328.77</v>
      </c>
    </row>
    <row r="139" spans="14:15" x14ac:dyDescent="0.3">
      <c r="N139" t="s">
        <v>229</v>
      </c>
      <c r="O139">
        <v>338.53500000000003</v>
      </c>
    </row>
    <row r="140" spans="14:15" x14ac:dyDescent="0.3">
      <c r="N140" t="s">
        <v>230</v>
      </c>
      <c r="O140">
        <v>327.921666666666</v>
      </c>
    </row>
    <row r="141" spans="14:15" x14ac:dyDescent="0.3">
      <c r="N141" t="s">
        <v>231</v>
      </c>
      <c r="O141">
        <v>322.28500000000003</v>
      </c>
    </row>
    <row r="142" spans="14:15" x14ac:dyDescent="0.3">
      <c r="N142" t="s">
        <v>232</v>
      </c>
      <c r="O142">
        <v>320.238333333333</v>
      </c>
    </row>
    <row r="143" spans="14:15" x14ac:dyDescent="0.3">
      <c r="N143" t="s">
        <v>233</v>
      </c>
      <c r="O143">
        <v>360.14499999999998</v>
      </c>
    </row>
    <row r="144" spans="14:15" x14ac:dyDescent="0.3">
      <c r="N144" t="s">
        <v>234</v>
      </c>
      <c r="O144">
        <v>317.73</v>
      </c>
    </row>
    <row r="145" spans="14:15" x14ac:dyDescent="0.3">
      <c r="N145" t="s">
        <v>235</v>
      </c>
      <c r="O145">
        <v>329.83</v>
      </c>
    </row>
    <row r="146" spans="14:15" x14ac:dyDescent="0.3">
      <c r="N146" t="s">
        <v>236</v>
      </c>
      <c r="O146">
        <v>294.88166666666598</v>
      </c>
    </row>
    <row r="147" spans="14:15" x14ac:dyDescent="0.3">
      <c r="N147" t="s">
        <v>237</v>
      </c>
      <c r="O147">
        <v>307.19499999999999</v>
      </c>
    </row>
    <row r="148" spans="14:15" x14ac:dyDescent="0.3">
      <c r="N148" t="s">
        <v>238</v>
      </c>
      <c r="O148">
        <v>355.09833333333302</v>
      </c>
    </row>
    <row r="149" spans="14:15" x14ac:dyDescent="0.3">
      <c r="N149" t="s">
        <v>239</v>
      </c>
      <c r="O149">
        <v>335.03500000000003</v>
      </c>
    </row>
    <row r="150" spans="14:15" x14ac:dyDescent="0.3">
      <c r="N150" t="s">
        <v>240</v>
      </c>
      <c r="O150">
        <v>348.22333333333302</v>
      </c>
    </row>
    <row r="151" spans="14:15" x14ac:dyDescent="0.3">
      <c r="N151" t="s">
        <v>241</v>
      </c>
      <c r="O151">
        <v>308.71499999999997</v>
      </c>
    </row>
    <row r="152" spans="14:15" x14ac:dyDescent="0.3">
      <c r="N152" t="s">
        <v>242</v>
      </c>
      <c r="O152">
        <v>362.90499999999997</v>
      </c>
    </row>
    <row r="153" spans="14:15" x14ac:dyDescent="0.3">
      <c r="N153" t="s">
        <v>243</v>
      </c>
      <c r="O153">
        <v>327.46499999999997</v>
      </c>
    </row>
    <row r="154" spans="14:15" x14ac:dyDescent="0.3">
      <c r="N154" t="s">
        <v>244</v>
      </c>
      <c r="O154">
        <v>359.356666666666</v>
      </c>
    </row>
    <row r="155" spans="14:15" x14ac:dyDescent="0.3">
      <c r="N155" t="s">
        <v>245</v>
      </c>
      <c r="O155">
        <v>360.42666666666599</v>
      </c>
    </row>
    <row r="156" spans="14:15" x14ac:dyDescent="0.3">
      <c r="N156" t="s">
        <v>246</v>
      </c>
      <c r="O156">
        <v>334.87666666666598</v>
      </c>
    </row>
    <row r="157" spans="14:15" x14ac:dyDescent="0.3">
      <c r="N157" t="s">
        <v>247</v>
      </c>
      <c r="O157">
        <v>331.38666666666597</v>
      </c>
    </row>
    <row r="158" spans="14:15" x14ac:dyDescent="0.3">
      <c r="N158" t="s">
        <v>248</v>
      </c>
      <c r="O158">
        <v>338.39333333333298</v>
      </c>
    </row>
    <row r="159" spans="14:15" x14ac:dyDescent="0.3">
      <c r="N159" t="s">
        <v>249</v>
      </c>
      <c r="O159">
        <v>349.791666666666</v>
      </c>
    </row>
    <row r="160" spans="14:15" x14ac:dyDescent="0.3">
      <c r="N160" t="s">
        <v>250</v>
      </c>
      <c r="O160">
        <v>325.52666666666602</v>
      </c>
    </row>
    <row r="161" spans="14:15" x14ac:dyDescent="0.3">
      <c r="N161" t="s">
        <v>251</v>
      </c>
      <c r="O161">
        <v>352.90499999999997</v>
      </c>
    </row>
    <row r="162" spans="14:15" x14ac:dyDescent="0.3">
      <c r="N162" t="s">
        <v>252</v>
      </c>
      <c r="O162">
        <v>331.14666666666602</v>
      </c>
    </row>
    <row r="163" spans="14:15" x14ac:dyDescent="0.3">
      <c r="N163" t="s">
        <v>253</v>
      </c>
      <c r="O163">
        <v>373.19833333333298</v>
      </c>
    </row>
    <row r="164" spans="14:15" x14ac:dyDescent="0.3">
      <c r="N164" t="s">
        <v>254</v>
      </c>
      <c r="O164">
        <v>343.34833333333302</v>
      </c>
    </row>
    <row r="165" spans="14:15" x14ac:dyDescent="0.3">
      <c r="N165" t="s">
        <v>255</v>
      </c>
      <c r="O165">
        <v>377.48333333333301</v>
      </c>
    </row>
    <row r="166" spans="14:15" x14ac:dyDescent="0.3">
      <c r="N166" t="s">
        <v>256</v>
      </c>
      <c r="O166">
        <v>350.96333333333303</v>
      </c>
    </row>
    <row r="167" spans="14:15" x14ac:dyDescent="0.3">
      <c r="N167" t="s">
        <v>257</v>
      </c>
      <c r="O167">
        <v>326.39999999999998</v>
      </c>
    </row>
    <row r="168" spans="14:15" x14ac:dyDescent="0.3">
      <c r="N168" t="s">
        <v>258</v>
      </c>
      <c r="O168">
        <v>327.59666666666601</v>
      </c>
    </row>
    <row r="169" spans="14:15" x14ac:dyDescent="0.3">
      <c r="N169" t="s">
        <v>259</v>
      </c>
      <c r="O169">
        <v>315.14333333333298</v>
      </c>
    </row>
    <row r="170" spans="14:15" x14ac:dyDescent="0.3">
      <c r="N170" t="s">
        <v>260</v>
      </c>
      <c r="O170">
        <v>297.23333333333301</v>
      </c>
    </row>
    <row r="171" spans="14:15" x14ac:dyDescent="0.3">
      <c r="N171" t="s">
        <v>261</v>
      </c>
      <c r="O171">
        <v>350.35833333333301</v>
      </c>
    </row>
    <row r="172" spans="14:15" x14ac:dyDescent="0.3">
      <c r="N172" t="s">
        <v>262</v>
      </c>
      <c r="O172">
        <v>308.97166666666601</v>
      </c>
    </row>
    <row r="173" spans="14:15" x14ac:dyDescent="0.3">
      <c r="N173" t="s">
        <v>263</v>
      </c>
      <c r="O173">
        <v>335.46833333333302</v>
      </c>
    </row>
    <row r="174" spans="14:15" x14ac:dyDescent="0.3">
      <c r="N174" t="s">
        <v>264</v>
      </c>
      <c r="O174">
        <v>311.04500000000002</v>
      </c>
    </row>
    <row r="175" spans="14:15" x14ac:dyDescent="0.3">
      <c r="N175" t="s">
        <v>265</v>
      </c>
      <c r="O175">
        <v>345.361666666666</v>
      </c>
    </row>
    <row r="176" spans="14:15" x14ac:dyDescent="0.3">
      <c r="N176" t="s">
        <v>266</v>
      </c>
      <c r="O176">
        <v>333.95166666666597</v>
      </c>
    </row>
    <row r="177" spans="14:15" x14ac:dyDescent="0.3">
      <c r="N177" t="s">
        <v>267</v>
      </c>
      <c r="O177">
        <v>315.38833333333298</v>
      </c>
    </row>
    <row r="178" spans="14:15" x14ac:dyDescent="0.3">
      <c r="N178" t="s">
        <v>268</v>
      </c>
      <c r="O178">
        <v>348.69</v>
      </c>
    </row>
    <row r="179" spans="14:15" x14ac:dyDescent="0.3">
      <c r="N179" t="s">
        <v>269</v>
      </c>
      <c r="O179">
        <v>270.356666666666</v>
      </c>
    </row>
    <row r="180" spans="14:15" x14ac:dyDescent="0.3">
      <c r="N180" t="s">
        <v>270</v>
      </c>
      <c r="O180">
        <v>304.618333333333</v>
      </c>
    </row>
    <row r="181" spans="14:15" x14ac:dyDescent="0.3">
      <c r="N181" t="s">
        <v>271</v>
      </c>
      <c r="O181">
        <v>339.29</v>
      </c>
    </row>
    <row r="182" spans="14:15" x14ac:dyDescent="0.3">
      <c r="N182" t="s">
        <v>272</v>
      </c>
      <c r="O182">
        <v>349.82666666666597</v>
      </c>
    </row>
    <row r="183" spans="14:15" x14ac:dyDescent="0.3">
      <c r="N183" t="s">
        <v>273</v>
      </c>
      <c r="O183">
        <v>348.72</v>
      </c>
    </row>
    <row r="184" spans="14:15" x14ac:dyDescent="0.3">
      <c r="N184" t="s">
        <v>274</v>
      </c>
      <c r="O184">
        <v>325.28166666666601</v>
      </c>
    </row>
    <row r="185" spans="14:15" x14ac:dyDescent="0.3">
      <c r="N185" t="s">
        <v>275</v>
      </c>
      <c r="O185">
        <v>300.74166666666599</v>
      </c>
    </row>
    <row r="186" spans="14:15" x14ac:dyDescent="0.3">
      <c r="N186" t="s">
        <v>276</v>
      </c>
      <c r="O186">
        <v>311.99833333333299</v>
      </c>
    </row>
    <row r="187" spans="14:15" x14ac:dyDescent="0.3">
      <c r="N187" t="s">
        <v>277</v>
      </c>
      <c r="O187">
        <v>353.18666666666599</v>
      </c>
    </row>
    <row r="188" spans="14:15" x14ac:dyDescent="0.3">
      <c r="N188" t="s">
        <v>278</v>
      </c>
      <c r="O188">
        <v>340.921666666666</v>
      </c>
    </row>
    <row r="189" spans="14:15" x14ac:dyDescent="0.3">
      <c r="N189" t="s">
        <v>279</v>
      </c>
      <c r="O189">
        <v>326.07833333333298</v>
      </c>
    </row>
    <row r="190" spans="14:15" x14ac:dyDescent="0.3">
      <c r="N190" t="s">
        <v>280</v>
      </c>
      <c r="O190">
        <v>292.3</v>
      </c>
    </row>
    <row r="191" spans="14:15" x14ac:dyDescent="0.3">
      <c r="N191" t="s">
        <v>281</v>
      </c>
      <c r="O191">
        <v>285.23</v>
      </c>
    </row>
    <row r="192" spans="14:15" x14ac:dyDescent="0.3">
      <c r="N192" t="s">
        <v>282</v>
      </c>
      <c r="O192">
        <v>327.38666666666597</v>
      </c>
    </row>
    <row r="193" spans="14:15" x14ac:dyDescent="0.3">
      <c r="N193" t="s">
        <v>283</v>
      </c>
      <c r="O193">
        <v>360.72666666666601</v>
      </c>
    </row>
    <row r="194" spans="14:15" x14ac:dyDescent="0.3">
      <c r="N194" t="s">
        <v>284</v>
      </c>
      <c r="O194">
        <v>343.47500000000002</v>
      </c>
    </row>
    <row r="195" spans="14:15" x14ac:dyDescent="0.3">
      <c r="N195" t="s">
        <v>285</v>
      </c>
      <c r="O195">
        <v>290.31166666666599</v>
      </c>
    </row>
    <row r="196" spans="14:15" x14ac:dyDescent="0.3">
      <c r="N196" t="s">
        <v>286</v>
      </c>
      <c r="O196">
        <v>325.861666666666</v>
      </c>
    </row>
    <row r="197" spans="14:15" x14ac:dyDescent="0.3">
      <c r="N197" t="s">
        <v>287</v>
      </c>
      <c r="O197">
        <v>350.43166666666599</v>
      </c>
    </row>
    <row r="198" spans="14:15" x14ac:dyDescent="0.3">
      <c r="N198" t="s">
        <v>288</v>
      </c>
      <c r="O198">
        <v>342.26</v>
      </c>
    </row>
    <row r="199" spans="14:15" x14ac:dyDescent="0.3">
      <c r="N199" t="s">
        <v>289</v>
      </c>
      <c r="O199">
        <v>318.14833333333303</v>
      </c>
    </row>
    <row r="200" spans="14:15" x14ac:dyDescent="0.3">
      <c r="N200" t="s">
        <v>290</v>
      </c>
      <c r="O200">
        <v>315.79833333333301</v>
      </c>
    </row>
    <row r="201" spans="14:15" x14ac:dyDescent="0.3">
      <c r="N201" t="s">
        <v>291</v>
      </c>
      <c r="O201">
        <v>326.57666666666597</v>
      </c>
    </row>
    <row r="202" spans="14:15" x14ac:dyDescent="0.3">
      <c r="N202" t="s">
        <v>292</v>
      </c>
      <c r="O202">
        <v>308.69</v>
      </c>
    </row>
    <row r="203" spans="14:15" x14ac:dyDescent="0.3">
      <c r="N203" t="s">
        <v>293</v>
      </c>
      <c r="O203">
        <v>346.15166666666602</v>
      </c>
    </row>
    <row r="204" spans="14:15" x14ac:dyDescent="0.3">
      <c r="N204" t="s">
        <v>294</v>
      </c>
      <c r="O204">
        <v>368.88666666666597</v>
      </c>
    </row>
    <row r="205" spans="14:15" x14ac:dyDescent="0.3">
      <c r="N205" t="s">
        <v>295</v>
      </c>
      <c r="O205">
        <v>325.26166666666597</v>
      </c>
    </row>
    <row r="206" spans="14:15" x14ac:dyDescent="0.3">
      <c r="N206" t="s">
        <v>296</v>
      </c>
      <c r="O206">
        <v>336.60333333333301</v>
      </c>
    </row>
    <row r="207" spans="14:15" x14ac:dyDescent="0.3">
      <c r="N207" t="s">
        <v>297</v>
      </c>
      <c r="O207">
        <v>337.43666666666599</v>
      </c>
    </row>
    <row r="208" spans="14:15" x14ac:dyDescent="0.3">
      <c r="N208" t="s">
        <v>298</v>
      </c>
      <c r="O208">
        <v>342.20666666666602</v>
      </c>
    </row>
    <row r="209" spans="14:15" x14ac:dyDescent="0.3">
      <c r="N209" t="s">
        <v>299</v>
      </c>
      <c r="O209">
        <v>326.57333333333298</v>
      </c>
    </row>
    <row r="210" spans="14:15" x14ac:dyDescent="0.3">
      <c r="N210" t="s">
        <v>300</v>
      </c>
      <c r="O210">
        <v>330.231666666666</v>
      </c>
    </row>
    <row r="211" spans="14:15" x14ac:dyDescent="0.3">
      <c r="N211" t="s">
        <v>301</v>
      </c>
      <c r="O211">
        <v>393.113333333333</v>
      </c>
    </row>
    <row r="212" spans="14:15" x14ac:dyDescent="0.3">
      <c r="N212" t="s">
        <v>302</v>
      </c>
      <c r="O212">
        <v>357.47333333333302</v>
      </c>
    </row>
    <row r="213" spans="14:15" x14ac:dyDescent="0.3">
      <c r="N213" t="s">
        <v>303</v>
      </c>
      <c r="O213">
        <v>327.52166666666602</v>
      </c>
    </row>
    <row r="214" spans="14:15" x14ac:dyDescent="0.3">
      <c r="N214" t="s">
        <v>304</v>
      </c>
      <c r="O214">
        <v>328.45833333333297</v>
      </c>
    </row>
    <row r="215" spans="14:15" x14ac:dyDescent="0.3">
      <c r="N215" t="s">
        <v>305</v>
      </c>
      <c r="O215">
        <v>333.93833333333299</v>
      </c>
    </row>
    <row r="216" spans="14:15" x14ac:dyDescent="0.3">
      <c r="N216" t="s">
        <v>306</v>
      </c>
      <c r="O216">
        <v>328.17500000000001</v>
      </c>
    </row>
    <row r="217" spans="14:15" x14ac:dyDescent="0.3">
      <c r="N217" t="s">
        <v>307</v>
      </c>
      <c r="O217">
        <v>357.10833333333301</v>
      </c>
    </row>
    <row r="218" spans="14:15" x14ac:dyDescent="0.3">
      <c r="N218" t="s">
        <v>308</v>
      </c>
      <c r="O218">
        <v>341.03166666666601</v>
      </c>
    </row>
    <row r="219" spans="14:15" x14ac:dyDescent="0.3">
      <c r="N219" t="s">
        <v>309</v>
      </c>
      <c r="O219">
        <v>309.27666666666602</v>
      </c>
    </row>
    <row r="220" spans="14:15" x14ac:dyDescent="0.3">
      <c r="N220" t="s">
        <v>310</v>
      </c>
      <c r="O220">
        <v>305.57833333333298</v>
      </c>
    </row>
    <row r="221" spans="14:15" x14ac:dyDescent="0.3">
      <c r="N221" t="s">
        <v>311</v>
      </c>
      <c r="O221">
        <v>361.79333333333301</v>
      </c>
    </row>
    <row r="222" spans="14:15" x14ac:dyDescent="0.3">
      <c r="N222" t="s">
        <v>312</v>
      </c>
      <c r="O222">
        <v>324</v>
      </c>
    </row>
    <row r="223" spans="14:15" x14ac:dyDescent="0.3">
      <c r="N223" t="s">
        <v>313</v>
      </c>
      <c r="O223">
        <v>305.63333333333298</v>
      </c>
    </row>
    <row r="224" spans="14:15" x14ac:dyDescent="0.3">
      <c r="N224" t="s">
        <v>314</v>
      </c>
      <c r="O224">
        <v>322.55666666666599</v>
      </c>
    </row>
    <row r="225" spans="14:15" x14ac:dyDescent="0.3">
      <c r="N225" t="s">
        <v>315</v>
      </c>
      <c r="O225">
        <v>298.46666666666601</v>
      </c>
    </row>
    <row r="226" spans="14:15" x14ac:dyDescent="0.3">
      <c r="N226" t="s">
        <v>316</v>
      </c>
      <c r="O226">
        <v>366.25166666666598</v>
      </c>
    </row>
    <row r="227" spans="14:15" x14ac:dyDescent="0.3">
      <c r="N227" t="s">
        <v>317</v>
      </c>
      <c r="O227">
        <v>330.87666666666598</v>
      </c>
    </row>
    <row r="228" spans="14:15" x14ac:dyDescent="0.3">
      <c r="N228" t="s">
        <v>318</v>
      </c>
      <c r="O228">
        <v>354.20833333333297</v>
      </c>
    </row>
    <row r="229" spans="14:15" x14ac:dyDescent="0.3">
      <c r="N229" t="s">
        <v>319</v>
      </c>
      <c r="O229">
        <v>384.30666666666599</v>
      </c>
    </row>
    <row r="230" spans="14:15" x14ac:dyDescent="0.3">
      <c r="N230" t="s">
        <v>320</v>
      </c>
      <c r="O230">
        <v>323.921666666666</v>
      </c>
    </row>
    <row r="231" spans="14:15" x14ac:dyDescent="0.3">
      <c r="N231" t="s">
        <v>321</v>
      </c>
      <c r="O231">
        <v>342.77</v>
      </c>
    </row>
    <row r="232" spans="14:15" x14ac:dyDescent="0.3">
      <c r="N232" t="s">
        <v>322</v>
      </c>
      <c r="O232">
        <v>358.02499999999998</v>
      </c>
    </row>
    <row r="233" spans="14:15" x14ac:dyDescent="0.3">
      <c r="N233" t="s">
        <v>323</v>
      </c>
      <c r="O233">
        <v>304.56</v>
      </c>
    </row>
    <row r="234" spans="14:15" x14ac:dyDescent="0.3">
      <c r="N234" t="s">
        <v>324</v>
      </c>
      <c r="O234">
        <v>374.35500000000002</v>
      </c>
    </row>
    <row r="235" spans="14:15" x14ac:dyDescent="0.3">
      <c r="N235" t="s">
        <v>325</v>
      </c>
      <c r="O235">
        <v>352.45</v>
      </c>
    </row>
    <row r="236" spans="14:15" x14ac:dyDescent="0.3">
      <c r="N236" t="s">
        <v>326</v>
      </c>
      <c r="O236">
        <v>348.68833333333299</v>
      </c>
    </row>
    <row r="237" spans="14:15" x14ac:dyDescent="0.3">
      <c r="N237" t="s">
        <v>327</v>
      </c>
      <c r="O237">
        <v>365.685</v>
      </c>
    </row>
    <row r="238" spans="14:15" x14ac:dyDescent="0.3">
      <c r="N238" t="s">
        <v>328</v>
      </c>
      <c r="O238">
        <v>330.32</v>
      </c>
    </row>
    <row r="239" spans="14:15" x14ac:dyDescent="0.3">
      <c r="N239" t="s">
        <v>329</v>
      </c>
      <c r="O239">
        <v>349.63</v>
      </c>
    </row>
    <row r="240" spans="14:15" x14ac:dyDescent="0.3">
      <c r="N240" t="s">
        <v>330</v>
      </c>
      <c r="O240">
        <v>335.73500000000001</v>
      </c>
    </row>
    <row r="241" spans="14:15" x14ac:dyDescent="0.3">
      <c r="N241" t="s">
        <v>331</v>
      </c>
      <c r="O241">
        <v>315.74833333333299</v>
      </c>
    </row>
    <row r="242" spans="14:15" x14ac:dyDescent="0.3">
      <c r="N242" t="s">
        <v>332</v>
      </c>
      <c r="O242">
        <v>360.89499999999998</v>
      </c>
    </row>
    <row r="243" spans="14:15" x14ac:dyDescent="0.3">
      <c r="N243" t="s">
        <v>333</v>
      </c>
      <c r="O243">
        <v>356.90166666666602</v>
      </c>
    </row>
    <row r="244" spans="14:15" x14ac:dyDescent="0.3">
      <c r="N244" t="s">
        <v>334</v>
      </c>
      <c r="O244">
        <v>320.50166666666598</v>
      </c>
    </row>
    <row r="245" spans="14:15" x14ac:dyDescent="0.3">
      <c r="N245" t="s">
        <v>335</v>
      </c>
      <c r="O245">
        <v>345.76</v>
      </c>
    </row>
    <row r="246" spans="14:15" x14ac:dyDescent="0.3">
      <c r="N246" t="s">
        <v>336</v>
      </c>
      <c r="O246">
        <v>303.98500000000001</v>
      </c>
    </row>
    <row r="247" spans="14:15" x14ac:dyDescent="0.3">
      <c r="N247" t="s">
        <v>337</v>
      </c>
      <c r="O247">
        <v>332.63</v>
      </c>
    </row>
    <row r="248" spans="14:15" x14ac:dyDescent="0.3">
      <c r="N248" t="s">
        <v>338</v>
      </c>
      <c r="O248">
        <v>338.25333333333299</v>
      </c>
    </row>
    <row r="249" spans="14:15" x14ac:dyDescent="0.3">
      <c r="N249" t="s">
        <v>339</v>
      </c>
      <c r="O249">
        <v>314.58999999999997</v>
      </c>
    </row>
    <row r="250" spans="14:15" x14ac:dyDescent="0.3">
      <c r="N250" t="s">
        <v>340</v>
      </c>
      <c r="O250">
        <v>385.12666666666598</v>
      </c>
    </row>
    <row r="251" spans="14:15" x14ac:dyDescent="0.3">
      <c r="N251" t="s">
        <v>341</v>
      </c>
      <c r="O251">
        <v>345.08833333333303</v>
      </c>
    </row>
    <row r="252" spans="14:15" x14ac:dyDescent="0.3">
      <c r="N252" t="s">
        <v>342</v>
      </c>
      <c r="O252">
        <v>340.95499999999998</v>
      </c>
    </row>
    <row r="253" spans="14:15" x14ac:dyDescent="0.3">
      <c r="N253" t="s">
        <v>343</v>
      </c>
      <c r="O253">
        <v>307.21499999999997</v>
      </c>
    </row>
    <row r="254" spans="14:15" x14ac:dyDescent="0.3">
      <c r="N254" t="s">
        <v>344</v>
      </c>
      <c r="O254">
        <v>312.64499999999998</v>
      </c>
    </row>
    <row r="255" spans="14:15" x14ac:dyDescent="0.3">
      <c r="N255" t="s">
        <v>345</v>
      </c>
      <c r="O255">
        <v>362.77499999999998</v>
      </c>
    </row>
    <row r="256" spans="14:15" x14ac:dyDescent="0.3">
      <c r="N256" t="s">
        <v>346</v>
      </c>
      <c r="O256">
        <v>287.59333333333302</v>
      </c>
    </row>
    <row r="257" spans="14:15" x14ac:dyDescent="0.3">
      <c r="N257" t="s">
        <v>347</v>
      </c>
      <c r="O257">
        <v>360.361666666666</v>
      </c>
    </row>
    <row r="258" spans="14:15" x14ac:dyDescent="0.3">
      <c r="N258" t="s">
        <v>348</v>
      </c>
      <c r="O258">
        <v>334.55666666666599</v>
      </c>
    </row>
    <row r="259" spans="14:15" x14ac:dyDescent="0.3">
      <c r="N259" t="s">
        <v>349</v>
      </c>
      <c r="O259">
        <v>368.81</v>
      </c>
    </row>
    <row r="260" spans="14:15" x14ac:dyDescent="0.3">
      <c r="N260" t="s">
        <v>350</v>
      </c>
      <c r="O260">
        <v>355.981666666666</v>
      </c>
    </row>
    <row r="261" spans="14:15" x14ac:dyDescent="0.3">
      <c r="N261" t="s">
        <v>351</v>
      </c>
      <c r="O261">
        <v>385.796666666666</v>
      </c>
    </row>
    <row r="262" spans="14:15" x14ac:dyDescent="0.3">
      <c r="N262" t="s">
        <v>352</v>
      </c>
      <c r="O262">
        <v>375.38666666666597</v>
      </c>
    </row>
    <row r="263" spans="14:15" x14ac:dyDescent="0.3">
      <c r="N263" t="s">
        <v>353</v>
      </c>
      <c r="O263">
        <v>301.41500000000002</v>
      </c>
    </row>
    <row r="264" spans="14:15" x14ac:dyDescent="0.3">
      <c r="N264" t="s">
        <v>354</v>
      </c>
      <c r="O264">
        <v>339.35166666666601</v>
      </c>
    </row>
    <row r="265" spans="14:15" x14ac:dyDescent="0.3">
      <c r="N265" t="s">
        <v>355</v>
      </c>
      <c r="O265">
        <v>346.09333333333302</v>
      </c>
    </row>
    <row r="266" spans="14:15" x14ac:dyDescent="0.3">
      <c r="N266" t="s">
        <v>356</v>
      </c>
      <c r="O266">
        <v>331.72833333333301</v>
      </c>
    </row>
    <row r="267" spans="14:15" x14ac:dyDescent="0.3">
      <c r="N267" t="s">
        <v>357</v>
      </c>
      <c r="O267">
        <v>322.70499999999998</v>
      </c>
    </row>
    <row r="268" spans="14:15" x14ac:dyDescent="0.3">
      <c r="N268" t="s">
        <v>358</v>
      </c>
      <c r="O268">
        <v>322.933333333333</v>
      </c>
    </row>
    <row r="269" spans="14:15" x14ac:dyDescent="0.3">
      <c r="N269" t="s">
        <v>359</v>
      </c>
      <c r="O269">
        <v>363.96</v>
      </c>
    </row>
    <row r="270" spans="14:15" x14ac:dyDescent="0.3">
      <c r="N270" t="s">
        <v>360</v>
      </c>
      <c r="O270">
        <v>330.46</v>
      </c>
    </row>
    <row r="271" spans="14:15" x14ac:dyDescent="0.3">
      <c r="N271" t="s">
        <v>361</v>
      </c>
      <c r="O271">
        <v>346.995</v>
      </c>
    </row>
    <row r="272" spans="14:15" x14ac:dyDescent="0.3">
      <c r="N272" t="s">
        <v>362</v>
      </c>
      <c r="O272">
        <v>351.32499999999999</v>
      </c>
    </row>
    <row r="273" spans="14:15" x14ac:dyDescent="0.3">
      <c r="N273" t="s">
        <v>363</v>
      </c>
      <c r="O273">
        <v>348.2</v>
      </c>
    </row>
    <row r="274" spans="14:15" x14ac:dyDescent="0.3">
      <c r="N274" t="s">
        <v>364</v>
      </c>
      <c r="O274">
        <v>348.88499999999999</v>
      </c>
    </row>
    <row r="275" spans="14:15" x14ac:dyDescent="0.3">
      <c r="N275" t="s">
        <v>365</v>
      </c>
      <c r="O275">
        <v>312.45</v>
      </c>
    </row>
    <row r="276" spans="14:15" x14ac:dyDescent="0.3">
      <c r="N276" t="s">
        <v>366</v>
      </c>
      <c r="O276">
        <v>333.5</v>
      </c>
    </row>
    <row r="277" spans="14:15" x14ac:dyDescent="0.3">
      <c r="N277" t="s">
        <v>367</v>
      </c>
      <c r="O277">
        <v>312.435</v>
      </c>
    </row>
    <row r="278" spans="14:15" x14ac:dyDescent="0.3">
      <c r="N278" t="s">
        <v>368</v>
      </c>
      <c r="O278">
        <v>395.44833333333298</v>
      </c>
    </row>
    <row r="279" spans="14:15" x14ac:dyDescent="0.3">
      <c r="N279" t="s">
        <v>369</v>
      </c>
      <c r="O279">
        <v>361.15499999999997</v>
      </c>
    </row>
    <row r="280" spans="14:15" x14ac:dyDescent="0.3">
      <c r="N280" t="s">
        <v>370</v>
      </c>
      <c r="O280">
        <v>348.64666666666602</v>
      </c>
    </row>
    <row r="281" spans="14:15" x14ac:dyDescent="0.3">
      <c r="N281" t="s">
        <v>371</v>
      </c>
      <c r="O281">
        <v>374.45</v>
      </c>
    </row>
    <row r="282" spans="14:15" x14ac:dyDescent="0.3">
      <c r="N282" t="s">
        <v>372</v>
      </c>
      <c r="O282">
        <v>334.26833333333298</v>
      </c>
    </row>
    <row r="283" spans="14:15" x14ac:dyDescent="0.3">
      <c r="N283" t="s">
        <v>373</v>
      </c>
      <c r="O283">
        <v>319.93166666666599</v>
      </c>
    </row>
    <row r="284" spans="14:15" x14ac:dyDescent="0.3">
      <c r="N284" t="s">
        <v>374</v>
      </c>
      <c r="O284">
        <v>362.99666666666599</v>
      </c>
    </row>
    <row r="285" spans="14:15" x14ac:dyDescent="0.3">
      <c r="N285" t="s">
        <v>375</v>
      </c>
      <c r="O285">
        <v>332.25333333333299</v>
      </c>
    </row>
    <row r="286" spans="14:15" x14ac:dyDescent="0.3">
      <c r="N286" t="s">
        <v>376</v>
      </c>
      <c r="O286">
        <v>328.48500000000001</v>
      </c>
    </row>
    <row r="287" spans="14:15" x14ac:dyDescent="0.3">
      <c r="N287" t="s">
        <v>377</v>
      </c>
      <c r="O287">
        <v>322.48500000000001</v>
      </c>
    </row>
    <row r="288" spans="14:15" x14ac:dyDescent="0.3">
      <c r="N288" t="s">
        <v>378</v>
      </c>
      <c r="O288">
        <v>321.04500000000002</v>
      </c>
    </row>
    <row r="289" spans="14:15" x14ac:dyDescent="0.3">
      <c r="N289" t="s">
        <v>379</v>
      </c>
      <c r="O289">
        <v>336.666666666666</v>
      </c>
    </row>
    <row r="290" spans="14:15" x14ac:dyDescent="0.3">
      <c r="N290" t="s">
        <v>380</v>
      </c>
      <c r="O290">
        <v>338.48500000000001</v>
      </c>
    </row>
    <row r="291" spans="14:15" x14ac:dyDescent="0.3">
      <c r="N291" t="s">
        <v>381</v>
      </c>
      <c r="O291">
        <v>370.20499999999998</v>
      </c>
    </row>
    <row r="292" spans="14:15" x14ac:dyDescent="0.3">
      <c r="N292" t="s">
        <v>382</v>
      </c>
      <c r="O292">
        <v>324.42500000000001</v>
      </c>
    </row>
    <row r="293" spans="14:15" x14ac:dyDescent="0.3">
      <c r="N293" t="s">
        <v>383</v>
      </c>
      <c r="O293">
        <v>390.89166666666603</v>
      </c>
    </row>
    <row r="294" spans="14:15" x14ac:dyDescent="0.3">
      <c r="N294" t="s">
        <v>384</v>
      </c>
      <c r="O294">
        <v>355.18666666666599</v>
      </c>
    </row>
    <row r="295" spans="14:15" x14ac:dyDescent="0.3">
      <c r="N295" t="s">
        <v>385</v>
      </c>
      <c r="O295">
        <v>330.18166666666599</v>
      </c>
    </row>
    <row r="296" spans="14:15" x14ac:dyDescent="0.3">
      <c r="N296" t="s">
        <v>386</v>
      </c>
      <c r="O296">
        <v>305.46666666666601</v>
      </c>
    </row>
    <row r="297" spans="14:15" x14ac:dyDescent="0.3">
      <c r="N297" t="s">
        <v>387</v>
      </c>
      <c r="O297">
        <v>354.70499999999998</v>
      </c>
    </row>
    <row r="298" spans="14:15" x14ac:dyDescent="0.3">
      <c r="N298" t="s">
        <v>388</v>
      </c>
      <c r="O298">
        <v>359.49166666666599</v>
      </c>
    </row>
    <row r="299" spans="14:15" x14ac:dyDescent="0.3">
      <c r="N299" t="s">
        <v>389</v>
      </c>
      <c r="O299">
        <v>352.65499999999997</v>
      </c>
    </row>
    <row r="300" spans="14:15" x14ac:dyDescent="0.3">
      <c r="N300" t="s">
        <v>390</v>
      </c>
      <c r="O300">
        <v>334.245</v>
      </c>
    </row>
    <row r="301" spans="14:15" x14ac:dyDescent="0.3">
      <c r="N301" t="s">
        <v>391</v>
      </c>
      <c r="O301">
        <v>301.41000000000003</v>
      </c>
    </row>
    <row r="302" spans="14:15" x14ac:dyDescent="0.3">
      <c r="N302" t="s">
        <v>392</v>
      </c>
      <c r="O302">
        <v>292.87166666666599</v>
      </c>
    </row>
    <row r="303" spans="14:15" x14ac:dyDescent="0.3">
      <c r="N303" t="s">
        <v>393</v>
      </c>
      <c r="O303">
        <v>318.02</v>
      </c>
    </row>
    <row r="304" spans="14:15" x14ac:dyDescent="0.3">
      <c r="N304" t="s">
        <v>394</v>
      </c>
      <c r="O304">
        <v>333.62333333333299</v>
      </c>
    </row>
    <row r="305" spans="14:15" x14ac:dyDescent="0.3">
      <c r="N305" t="s">
        <v>395</v>
      </c>
      <c r="O305">
        <v>330.85500000000002</v>
      </c>
    </row>
    <row r="306" spans="14:15" x14ac:dyDescent="0.3">
      <c r="N306" t="s">
        <v>396</v>
      </c>
      <c r="O306">
        <v>332.36666666666599</v>
      </c>
    </row>
    <row r="307" spans="14:15" x14ac:dyDescent="0.3">
      <c r="N307" t="s">
        <v>397</v>
      </c>
      <c r="O307">
        <v>333.24166666666599</v>
      </c>
    </row>
    <row r="308" spans="14:15" x14ac:dyDescent="0.3">
      <c r="N308" t="s">
        <v>398</v>
      </c>
      <c r="O308">
        <v>326.78666666666601</v>
      </c>
    </row>
    <row r="309" spans="14:15" x14ac:dyDescent="0.3">
      <c r="N309" t="s">
        <v>399</v>
      </c>
      <c r="O309">
        <v>343.356666666666</v>
      </c>
    </row>
    <row r="310" spans="14:15" x14ac:dyDescent="0.3">
      <c r="N310" t="s">
        <v>400</v>
      </c>
      <c r="O310">
        <v>328.37833333333299</v>
      </c>
    </row>
    <row r="311" spans="14:15" x14ac:dyDescent="0.3">
      <c r="N311" t="s">
        <v>401</v>
      </c>
      <c r="O311">
        <v>345.58666666666602</v>
      </c>
    </row>
    <row r="312" spans="14:15" x14ac:dyDescent="0.3">
      <c r="N312" t="s">
        <v>402</v>
      </c>
      <c r="O312">
        <v>349.66500000000002</v>
      </c>
    </row>
    <row r="313" spans="14:15" x14ac:dyDescent="0.3">
      <c r="N313" t="s">
        <v>403</v>
      </c>
      <c r="O313">
        <v>335.89</v>
      </c>
    </row>
    <row r="314" spans="14:15" x14ac:dyDescent="0.3">
      <c r="N314" t="s">
        <v>404</v>
      </c>
      <c r="O314">
        <v>332.995</v>
      </c>
    </row>
    <row r="315" spans="14:15" x14ac:dyDescent="0.3">
      <c r="N315" t="s">
        <v>405</v>
      </c>
      <c r="O315">
        <v>297.15666666666601</v>
      </c>
    </row>
    <row r="316" spans="14:15" x14ac:dyDescent="0.3">
      <c r="N316" t="s">
        <v>406</v>
      </c>
      <c r="O316">
        <v>307.52499999999998</v>
      </c>
    </row>
    <row r="317" spans="14:15" x14ac:dyDescent="0.3">
      <c r="N317" t="s">
        <v>407</v>
      </c>
      <c r="O317">
        <v>323.88166666666598</v>
      </c>
    </row>
    <row r="318" spans="14:15" x14ac:dyDescent="0.3">
      <c r="N318" t="s">
        <v>408</v>
      </c>
      <c r="O318">
        <v>363.375</v>
      </c>
    </row>
    <row r="319" spans="14:15" x14ac:dyDescent="0.3">
      <c r="N319" t="s">
        <v>409</v>
      </c>
      <c r="O319">
        <v>372.22</v>
      </c>
    </row>
    <row r="320" spans="14:15" x14ac:dyDescent="0.3">
      <c r="N320" t="s">
        <v>410</v>
      </c>
      <c r="O320">
        <v>313.10000000000002</v>
      </c>
    </row>
    <row r="321" spans="14:15" x14ac:dyDescent="0.3">
      <c r="N321" t="s">
        <v>411</v>
      </c>
      <c r="O321">
        <v>365.19666666666598</v>
      </c>
    </row>
    <row r="322" spans="14:15" x14ac:dyDescent="0.3">
      <c r="N322" t="s">
        <v>412</v>
      </c>
      <c r="O322">
        <v>346.33</v>
      </c>
    </row>
    <row r="323" spans="14:15" x14ac:dyDescent="0.3">
      <c r="N323" t="s">
        <v>413</v>
      </c>
      <c r="O323">
        <v>381.933333333333</v>
      </c>
    </row>
    <row r="324" spans="14:15" x14ac:dyDescent="0.3">
      <c r="N324" t="s">
        <v>414</v>
      </c>
      <c r="O324">
        <v>330.9</v>
      </c>
    </row>
    <row r="325" spans="14:15" x14ac:dyDescent="0.3">
      <c r="N325" t="s">
        <v>415</v>
      </c>
      <c r="O325">
        <v>321.34666666666601</v>
      </c>
    </row>
    <row r="326" spans="14:15" x14ac:dyDescent="0.3">
      <c r="N326" t="s">
        <v>416</v>
      </c>
      <c r="O326">
        <v>379.22333333333302</v>
      </c>
    </row>
    <row r="327" spans="14:15" x14ac:dyDescent="0.3">
      <c r="N327" t="s">
        <v>417</v>
      </c>
      <c r="O327">
        <v>332.20166666666597</v>
      </c>
    </row>
    <row r="328" spans="14:15" x14ac:dyDescent="0.3">
      <c r="N328" t="s">
        <v>418</v>
      </c>
      <c r="O328">
        <v>352.245</v>
      </c>
    </row>
    <row r="329" spans="14:15" x14ac:dyDescent="0.3">
      <c r="N329" t="s">
        <v>419</v>
      </c>
      <c r="O329">
        <v>350.98333333333301</v>
      </c>
    </row>
    <row r="330" spans="14:15" x14ac:dyDescent="0.3">
      <c r="N330" t="s">
        <v>420</v>
      </c>
      <c r="O330">
        <v>376.60833333333301</v>
      </c>
    </row>
    <row r="331" spans="14:15" x14ac:dyDescent="0.3">
      <c r="N331" t="s">
        <v>421</v>
      </c>
      <c r="O331">
        <v>319.02</v>
      </c>
    </row>
    <row r="332" spans="14:15" x14ac:dyDescent="0.3">
      <c r="N332" t="s">
        <v>422</v>
      </c>
      <c r="O332">
        <v>322.93833333333299</v>
      </c>
    </row>
    <row r="333" spans="14:15" x14ac:dyDescent="0.3">
      <c r="N333" t="s">
        <v>423</v>
      </c>
      <c r="O333">
        <v>316.93</v>
      </c>
    </row>
    <row r="334" spans="14:15" x14ac:dyDescent="0.3">
      <c r="N334" t="s">
        <v>424</v>
      </c>
      <c r="O334">
        <v>350.18666666666599</v>
      </c>
    </row>
    <row r="335" spans="14:15" x14ac:dyDescent="0.3">
      <c r="N335" t="s">
        <v>425</v>
      </c>
      <c r="O335">
        <v>335.38166666666598</v>
      </c>
    </row>
    <row r="336" spans="14:15" x14ac:dyDescent="0.3">
      <c r="N336" t="s">
        <v>426</v>
      </c>
      <c r="O336">
        <v>311.78833333333301</v>
      </c>
    </row>
    <row r="337" spans="14:15" x14ac:dyDescent="0.3">
      <c r="N337" t="s">
        <v>427</v>
      </c>
      <c r="O337">
        <v>303.39333333333298</v>
      </c>
    </row>
    <row r="338" spans="14:15" x14ac:dyDescent="0.3">
      <c r="N338" t="s">
        <v>428</v>
      </c>
      <c r="O338">
        <v>345.57666666666597</v>
      </c>
    </row>
    <row r="339" spans="14:15" x14ac:dyDescent="0.3">
      <c r="N339" t="s">
        <v>429</v>
      </c>
      <c r="O339">
        <v>310.14333333333298</v>
      </c>
    </row>
    <row r="340" spans="14:15" x14ac:dyDescent="0.3">
      <c r="N340" t="s">
        <v>430</v>
      </c>
      <c r="O340">
        <v>347.868333333333</v>
      </c>
    </row>
    <row r="341" spans="14:15" x14ac:dyDescent="0.3">
      <c r="N341" t="s">
        <v>431</v>
      </c>
      <c r="O341">
        <v>338.29500000000002</v>
      </c>
    </row>
    <row r="342" spans="14:15" x14ac:dyDescent="0.3">
      <c r="N342" t="s">
        <v>432</v>
      </c>
      <c r="O342">
        <v>309.20666666666602</v>
      </c>
    </row>
    <row r="343" spans="14:15" x14ac:dyDescent="0.3">
      <c r="N343" t="s">
        <v>433</v>
      </c>
      <c r="O343">
        <v>348.24</v>
      </c>
    </row>
    <row r="344" spans="14:15" x14ac:dyDescent="0.3">
      <c r="N344" t="s">
        <v>434</v>
      </c>
      <c r="O344">
        <v>330.52</v>
      </c>
    </row>
    <row r="345" spans="14:15" x14ac:dyDescent="0.3">
      <c r="N345" t="s">
        <v>435</v>
      </c>
      <c r="O345">
        <v>354.04333333333301</v>
      </c>
    </row>
    <row r="346" spans="14:15" x14ac:dyDescent="0.3">
      <c r="N346" t="s">
        <v>436</v>
      </c>
      <c r="O346">
        <v>316.981666666666</v>
      </c>
    </row>
    <row r="347" spans="14:15" x14ac:dyDescent="0.3">
      <c r="N347" t="s">
        <v>437</v>
      </c>
      <c r="O347">
        <v>263.95499999999998</v>
      </c>
    </row>
    <row r="348" spans="14:15" x14ac:dyDescent="0.3">
      <c r="N348" t="s">
        <v>438</v>
      </c>
      <c r="O348">
        <v>384.416666666666</v>
      </c>
    </row>
    <row r="349" spans="14:15" x14ac:dyDescent="0.3">
      <c r="N349" t="s">
        <v>439</v>
      </c>
      <c r="O349">
        <v>344.82666666666597</v>
      </c>
    </row>
    <row r="350" spans="14:15" x14ac:dyDescent="0.3">
      <c r="N350" t="s">
        <v>440</v>
      </c>
      <c r="O350">
        <v>344.53166666666601</v>
      </c>
    </row>
    <row r="351" spans="14:15" x14ac:dyDescent="0.3">
      <c r="N351" t="s">
        <v>441</v>
      </c>
      <c r="O351">
        <v>355.111666666666</v>
      </c>
    </row>
    <row r="352" spans="14:15" x14ac:dyDescent="0.3">
      <c r="N352" t="s">
        <v>442</v>
      </c>
      <c r="O352">
        <v>336.35333333333301</v>
      </c>
    </row>
    <row r="353" spans="14:15" x14ac:dyDescent="0.3">
      <c r="N353" t="s">
        <v>443</v>
      </c>
      <c r="O353">
        <v>347.33166666666602</v>
      </c>
    </row>
    <row r="354" spans="14:15" x14ac:dyDescent="0.3">
      <c r="N354" t="s">
        <v>444</v>
      </c>
      <c r="O354">
        <v>356.64666666666602</v>
      </c>
    </row>
    <row r="355" spans="14:15" x14ac:dyDescent="0.3">
      <c r="N355" t="s">
        <v>445</v>
      </c>
      <c r="O355">
        <v>276.44166666666598</v>
      </c>
    </row>
    <row r="356" spans="14:15" x14ac:dyDescent="0.3">
      <c r="N356" t="s">
        <v>446</v>
      </c>
      <c r="O356">
        <v>338.59</v>
      </c>
    </row>
    <row r="357" spans="14:15" x14ac:dyDescent="0.3">
      <c r="N357" t="s">
        <v>447</v>
      </c>
      <c r="O357">
        <v>334.45499999999998</v>
      </c>
    </row>
    <row r="358" spans="14:15" x14ac:dyDescent="0.3">
      <c r="N358" t="s">
        <v>448</v>
      </c>
      <c r="O358">
        <v>352.808333333333</v>
      </c>
    </row>
    <row r="359" spans="14:15" x14ac:dyDescent="0.3">
      <c r="N359" t="s">
        <v>449</v>
      </c>
      <c r="O359">
        <v>328.69166666666598</v>
      </c>
    </row>
    <row r="360" spans="14:15" x14ac:dyDescent="0.3">
      <c r="N360" t="s">
        <v>450</v>
      </c>
      <c r="O360">
        <v>364.02333333333303</v>
      </c>
    </row>
    <row r="361" spans="14:15" x14ac:dyDescent="0.3">
      <c r="N361" t="s">
        <v>451</v>
      </c>
      <c r="O361">
        <v>329.06333333333299</v>
      </c>
    </row>
    <row r="362" spans="14:15" x14ac:dyDescent="0.3">
      <c r="N362" t="s">
        <v>452</v>
      </c>
      <c r="O362">
        <v>357.04833333333301</v>
      </c>
    </row>
    <row r="363" spans="14:15" x14ac:dyDescent="0.3">
      <c r="N363" t="s">
        <v>453</v>
      </c>
      <c r="O363">
        <v>321.928333333333</v>
      </c>
    </row>
    <row r="364" spans="14:15" x14ac:dyDescent="0.3">
      <c r="N364" t="s">
        <v>454</v>
      </c>
      <c r="O364">
        <v>350.02333333333303</v>
      </c>
    </row>
    <row r="365" spans="14:15" x14ac:dyDescent="0.3">
      <c r="N365" t="s">
        <v>455</v>
      </c>
      <c r="O365">
        <v>329.21</v>
      </c>
    </row>
    <row r="366" spans="14:15" x14ac:dyDescent="0.3">
      <c r="N366" t="s">
        <v>456</v>
      </c>
      <c r="O366">
        <v>341.41333333333301</v>
      </c>
    </row>
    <row r="367" spans="14:15" x14ac:dyDescent="0.3">
      <c r="N367" t="s">
        <v>457</v>
      </c>
      <c r="O367">
        <v>320.40833333333302</v>
      </c>
    </row>
    <row r="368" spans="14:15" x14ac:dyDescent="0.3">
      <c r="N368" t="s">
        <v>458</v>
      </c>
      <c r="O368">
        <v>369.796666666666</v>
      </c>
    </row>
    <row r="369" spans="14:15" x14ac:dyDescent="0.3">
      <c r="N369" t="s">
        <v>459</v>
      </c>
      <c r="O369">
        <v>320.81666666666598</v>
      </c>
    </row>
    <row r="370" spans="14:15" x14ac:dyDescent="0.3">
      <c r="N370" t="s">
        <v>460</v>
      </c>
      <c r="O370">
        <v>355.46166666666602</v>
      </c>
    </row>
    <row r="371" spans="14:15" x14ac:dyDescent="0.3">
      <c r="N371" t="s">
        <v>461</v>
      </c>
      <c r="O371">
        <v>326.45</v>
      </c>
    </row>
    <row r="372" spans="14:15" x14ac:dyDescent="0.3">
      <c r="N372" t="s">
        <v>462</v>
      </c>
      <c r="O372">
        <v>371.14499999999998</v>
      </c>
    </row>
    <row r="373" spans="14:15" x14ac:dyDescent="0.3">
      <c r="N373" t="s">
        <v>463</v>
      </c>
      <c r="O373">
        <v>350.808333333333</v>
      </c>
    </row>
    <row r="374" spans="14:15" x14ac:dyDescent="0.3">
      <c r="N374" t="s">
        <v>464</v>
      </c>
      <c r="O374">
        <v>324.43833333333299</v>
      </c>
    </row>
    <row r="375" spans="14:15" x14ac:dyDescent="0.3">
      <c r="N375" t="s">
        <v>465</v>
      </c>
      <c r="O375">
        <v>328.245</v>
      </c>
    </row>
    <row r="376" spans="14:15" x14ac:dyDescent="0.3">
      <c r="N376" t="s">
        <v>466</v>
      </c>
      <c r="O376">
        <v>313.90166666666602</v>
      </c>
    </row>
    <row r="377" spans="14:15" x14ac:dyDescent="0.3">
      <c r="N377" t="s">
        <v>467</v>
      </c>
      <c r="O377">
        <v>381.606666666666</v>
      </c>
    </row>
    <row r="378" spans="14:15" x14ac:dyDescent="0.3">
      <c r="N378" t="s">
        <v>468</v>
      </c>
      <c r="O378">
        <v>363.65666666666601</v>
      </c>
    </row>
    <row r="379" spans="14:15" x14ac:dyDescent="0.3">
      <c r="N379" t="s">
        <v>469</v>
      </c>
      <c r="O379">
        <v>321.10000000000002</v>
      </c>
    </row>
    <row r="380" spans="14:15" x14ac:dyDescent="0.3">
      <c r="N380" t="s">
        <v>470</v>
      </c>
      <c r="O380">
        <v>353.43166666666599</v>
      </c>
    </row>
    <row r="381" spans="14:15" x14ac:dyDescent="0.3">
      <c r="N381" t="s">
        <v>471</v>
      </c>
      <c r="O381">
        <v>280.71666666666601</v>
      </c>
    </row>
    <row r="382" spans="14:15" x14ac:dyDescent="0.3">
      <c r="N382" t="s">
        <v>472</v>
      </c>
      <c r="O382">
        <v>328.20499999999998</v>
      </c>
    </row>
    <row r="383" spans="14:15" x14ac:dyDescent="0.3">
      <c r="N383" t="s">
        <v>473</v>
      </c>
      <c r="O383">
        <v>395.17333333333301</v>
      </c>
    </row>
    <row r="384" spans="14:15" x14ac:dyDescent="0.3">
      <c r="N384" t="s">
        <v>474</v>
      </c>
      <c r="O384">
        <v>312.36</v>
      </c>
    </row>
    <row r="385" spans="14:15" x14ac:dyDescent="0.3">
      <c r="N385" t="s">
        <v>475</v>
      </c>
      <c r="O385">
        <v>344.94166666666598</v>
      </c>
    </row>
    <row r="386" spans="14:15" x14ac:dyDescent="0.3">
      <c r="N386" t="s">
        <v>476</v>
      </c>
      <c r="O386">
        <v>338.65166666666602</v>
      </c>
    </row>
    <row r="387" spans="14:15" x14ac:dyDescent="0.3">
      <c r="N387" t="s">
        <v>477</v>
      </c>
      <c r="O387">
        <v>367.2</v>
      </c>
    </row>
    <row r="388" spans="14:15" x14ac:dyDescent="0.3">
      <c r="N388" t="s">
        <v>478</v>
      </c>
      <c r="O388">
        <v>325.41333333333301</v>
      </c>
    </row>
    <row r="389" spans="14:15" x14ac:dyDescent="0.3">
      <c r="N389" t="s">
        <v>479</v>
      </c>
      <c r="O389">
        <v>335.94666666666598</v>
      </c>
    </row>
    <row r="390" spans="14:15" x14ac:dyDescent="0.3">
      <c r="N390" t="s">
        <v>480</v>
      </c>
      <c r="O390">
        <v>341.4</v>
      </c>
    </row>
    <row r="391" spans="14:15" x14ac:dyDescent="0.3">
      <c r="N391" t="s">
        <v>481</v>
      </c>
      <c r="O391">
        <v>300.45333333333298</v>
      </c>
    </row>
    <row r="392" spans="14:15" x14ac:dyDescent="0.3">
      <c r="N392" t="s">
        <v>482</v>
      </c>
      <c r="O392">
        <v>370.75666666666598</v>
      </c>
    </row>
    <row r="393" spans="14:15" x14ac:dyDescent="0.3">
      <c r="N393" t="s">
        <v>483</v>
      </c>
      <c r="O393">
        <v>327.65166666666602</v>
      </c>
    </row>
    <row r="394" spans="14:15" x14ac:dyDescent="0.3">
      <c r="N394" t="s">
        <v>484</v>
      </c>
      <c r="O394">
        <v>359.45166666666597</v>
      </c>
    </row>
    <row r="395" spans="14:15" x14ac:dyDescent="0.3">
      <c r="N395" t="s">
        <v>485</v>
      </c>
      <c r="O395">
        <v>313.46499999999997</v>
      </c>
    </row>
    <row r="396" spans="14:15" x14ac:dyDescent="0.3">
      <c r="N396" t="s">
        <v>486</v>
      </c>
      <c r="O396">
        <v>343.44666666666598</v>
      </c>
    </row>
    <row r="397" spans="14:15" x14ac:dyDescent="0.3">
      <c r="N397" t="s">
        <v>487</v>
      </c>
      <c r="O397">
        <v>335.435</v>
      </c>
    </row>
    <row r="398" spans="14:15" x14ac:dyDescent="0.3">
      <c r="N398" t="s">
        <v>488</v>
      </c>
      <c r="O398">
        <v>348.23333333333301</v>
      </c>
    </row>
    <row r="399" spans="14:15" x14ac:dyDescent="0.3">
      <c r="N399" t="s">
        <v>489</v>
      </c>
      <c r="O399">
        <v>335.53500000000003</v>
      </c>
    </row>
    <row r="400" spans="14:15" x14ac:dyDescent="0.3">
      <c r="N400" t="s">
        <v>490</v>
      </c>
      <c r="O400">
        <v>333.77666666666602</v>
      </c>
    </row>
    <row r="401" spans="14:15" x14ac:dyDescent="0.3">
      <c r="N401" t="s">
        <v>491</v>
      </c>
      <c r="O401">
        <v>312.78833333333301</v>
      </c>
    </row>
    <row r="402" spans="14:15" x14ac:dyDescent="0.3">
      <c r="N402" t="s">
        <v>492</v>
      </c>
      <c r="O402">
        <v>396.435</v>
      </c>
    </row>
    <row r="403" spans="14:15" x14ac:dyDescent="0.3">
      <c r="N403" t="s">
        <v>493</v>
      </c>
      <c r="O403">
        <v>390.82833333333298</v>
      </c>
    </row>
    <row r="404" spans="14:15" x14ac:dyDescent="0.3">
      <c r="N404" t="s">
        <v>494</v>
      </c>
      <c r="O404">
        <v>366.33833333333303</v>
      </c>
    </row>
    <row r="405" spans="14:15" x14ac:dyDescent="0.3">
      <c r="N405" t="s">
        <v>495</v>
      </c>
      <c r="O405">
        <v>333.58</v>
      </c>
    </row>
    <row r="406" spans="14:15" x14ac:dyDescent="0.3">
      <c r="N406" t="s">
        <v>496</v>
      </c>
      <c r="O406">
        <v>340.111666666666</v>
      </c>
    </row>
    <row r="407" spans="14:15" x14ac:dyDescent="0.3">
      <c r="N407" t="s">
        <v>497</v>
      </c>
      <c r="O407">
        <v>290.95833333333297</v>
      </c>
    </row>
    <row r="408" spans="14:15" x14ac:dyDescent="0.3">
      <c r="N408" t="s">
        <v>498</v>
      </c>
      <c r="O408">
        <v>360.81166666666599</v>
      </c>
    </row>
    <row r="409" spans="14:15" x14ac:dyDescent="0.3">
      <c r="N409" t="s">
        <v>499</v>
      </c>
      <c r="O409">
        <v>330.255</v>
      </c>
    </row>
    <row r="410" spans="14:15" x14ac:dyDescent="0.3">
      <c r="N410" t="s">
        <v>500</v>
      </c>
      <c r="O410">
        <v>349.19</v>
      </c>
    </row>
    <row r="411" spans="14:15" x14ac:dyDescent="0.3">
      <c r="N411" t="s">
        <v>501</v>
      </c>
      <c r="O411">
        <v>353.15833333333302</v>
      </c>
    </row>
    <row r="412" spans="14:15" x14ac:dyDescent="0.3">
      <c r="N412" t="s">
        <v>502</v>
      </c>
      <c r="O412">
        <v>324.481666666666</v>
      </c>
    </row>
    <row r="413" spans="14:15" x14ac:dyDescent="0.3">
      <c r="N413" t="s">
        <v>503</v>
      </c>
      <c r="O413">
        <v>340.09500000000003</v>
      </c>
    </row>
    <row r="414" spans="14:15" x14ac:dyDescent="0.3">
      <c r="N414" t="s">
        <v>504</v>
      </c>
      <c r="O414">
        <v>325.70999999999998</v>
      </c>
    </row>
    <row r="415" spans="14:15" x14ac:dyDescent="0.3">
      <c r="N415" t="s">
        <v>505</v>
      </c>
      <c r="O415">
        <v>298.22833333333301</v>
      </c>
    </row>
    <row r="416" spans="14:15" x14ac:dyDescent="0.3">
      <c r="N416" t="s">
        <v>506</v>
      </c>
      <c r="O416">
        <v>342.731666666666</v>
      </c>
    </row>
    <row r="417" spans="14:15" x14ac:dyDescent="0.3">
      <c r="N417" t="s">
        <v>507</v>
      </c>
      <c r="O417">
        <v>326.18</v>
      </c>
    </row>
    <row r="418" spans="14:15" x14ac:dyDescent="0.3">
      <c r="N418" t="s">
        <v>508</v>
      </c>
      <c r="O418">
        <v>323.68166666666599</v>
      </c>
    </row>
    <row r="419" spans="14:15" x14ac:dyDescent="0.3">
      <c r="N419" t="s">
        <v>509</v>
      </c>
      <c r="O419">
        <v>309.60166666666601</v>
      </c>
    </row>
    <row r="420" spans="14:15" x14ac:dyDescent="0.3">
      <c r="N420" t="s">
        <v>510</v>
      </c>
      <c r="O420">
        <v>332.09500000000003</v>
      </c>
    </row>
    <row r="421" spans="14:15" x14ac:dyDescent="0.3">
      <c r="N421" t="s">
        <v>511</v>
      </c>
      <c r="O421">
        <v>404.70833333333297</v>
      </c>
    </row>
    <row r="422" spans="14:15" x14ac:dyDescent="0.3">
      <c r="N422" t="s">
        <v>512</v>
      </c>
      <c r="O422">
        <v>381.80666666666599</v>
      </c>
    </row>
    <row r="423" spans="14:15" x14ac:dyDescent="0.3">
      <c r="N423" t="s">
        <v>513</v>
      </c>
      <c r="O423">
        <v>331.06833333333299</v>
      </c>
    </row>
    <row r="424" spans="14:15" x14ac:dyDescent="0.3">
      <c r="N424" t="s">
        <v>514</v>
      </c>
      <c r="O424">
        <v>343.43166666666599</v>
      </c>
    </row>
    <row r="425" spans="14:15" x14ac:dyDescent="0.3">
      <c r="N425" t="s">
        <v>515</v>
      </c>
      <c r="O425">
        <v>336.46666666666601</v>
      </c>
    </row>
    <row r="426" spans="14:15" x14ac:dyDescent="0.3">
      <c r="N426" t="s">
        <v>516</v>
      </c>
      <c r="O426">
        <v>333.183333333333</v>
      </c>
    </row>
    <row r="427" spans="14:15" x14ac:dyDescent="0.3">
      <c r="N427" t="s">
        <v>517</v>
      </c>
      <c r="O427">
        <v>321.20333333333298</v>
      </c>
    </row>
    <row r="428" spans="14:15" x14ac:dyDescent="0.3">
      <c r="N428" t="s">
        <v>518</v>
      </c>
      <c r="O428">
        <v>359.15833333333302</v>
      </c>
    </row>
    <row r="429" spans="14:15" x14ac:dyDescent="0.3">
      <c r="N429" t="s">
        <v>519</v>
      </c>
      <c r="O429">
        <v>334.52833333333302</v>
      </c>
    </row>
    <row r="430" spans="14:15" x14ac:dyDescent="0.3">
      <c r="N430" t="s">
        <v>520</v>
      </c>
      <c r="O430">
        <v>329.05</v>
      </c>
    </row>
    <row r="431" spans="14:15" x14ac:dyDescent="0.3">
      <c r="N431" t="s">
        <v>521</v>
      </c>
      <c r="O431">
        <v>337.25</v>
      </c>
    </row>
    <row r="432" spans="14:15" x14ac:dyDescent="0.3">
      <c r="N432" t="s">
        <v>522</v>
      </c>
      <c r="O432">
        <v>323.82</v>
      </c>
    </row>
    <row r="433" spans="14:15" x14ac:dyDescent="0.3">
      <c r="N433" t="s">
        <v>523</v>
      </c>
      <c r="O433">
        <v>376.57333333333298</v>
      </c>
    </row>
    <row r="434" spans="14:15" x14ac:dyDescent="0.3">
      <c r="N434" t="s">
        <v>524</v>
      </c>
      <c r="O434">
        <v>351.238333333333</v>
      </c>
    </row>
    <row r="435" spans="14:15" x14ac:dyDescent="0.3">
      <c r="N435" t="s">
        <v>525</v>
      </c>
      <c r="O435">
        <v>356.58333333333297</v>
      </c>
    </row>
    <row r="436" spans="14:15" x14ac:dyDescent="0.3">
      <c r="N436" t="s">
        <v>526</v>
      </c>
      <c r="O436">
        <v>306.47833333333301</v>
      </c>
    </row>
    <row r="437" spans="14:15" x14ac:dyDescent="0.3">
      <c r="N437" t="s">
        <v>527</v>
      </c>
      <c r="O437">
        <v>330.76499999999999</v>
      </c>
    </row>
    <row r="438" spans="14:15" x14ac:dyDescent="0.3">
      <c r="N438" t="s">
        <v>528</v>
      </c>
      <c r="O438">
        <v>324.71833333333302</v>
      </c>
    </row>
    <row r="439" spans="14:15" x14ac:dyDescent="0.3">
      <c r="N439" t="s">
        <v>529</v>
      </c>
      <c r="O439">
        <v>328.486666666666</v>
      </c>
    </row>
    <row r="440" spans="14:15" x14ac:dyDescent="0.3">
      <c r="N440" t="s">
        <v>530</v>
      </c>
      <c r="O440">
        <v>381.34166666666601</v>
      </c>
    </row>
    <row r="441" spans="14:15" x14ac:dyDescent="0.3">
      <c r="N441" t="s">
        <v>531</v>
      </c>
      <c r="O441">
        <v>312.93833333333299</v>
      </c>
    </row>
    <row r="442" spans="14:15" x14ac:dyDescent="0.3">
      <c r="N442" t="s">
        <v>532</v>
      </c>
      <c r="O442">
        <v>384.39499999999998</v>
      </c>
    </row>
    <row r="443" spans="14:15" x14ac:dyDescent="0.3">
      <c r="N443" t="s">
        <v>533</v>
      </c>
      <c r="O443">
        <v>348.368333333333</v>
      </c>
    </row>
    <row r="444" spans="14:15" x14ac:dyDescent="0.3">
      <c r="N444" t="s">
        <v>534</v>
      </c>
      <c r="O444">
        <v>334.00666666666598</v>
      </c>
    </row>
    <row r="445" spans="14:15" x14ac:dyDescent="0.3">
      <c r="N445" t="s">
        <v>535</v>
      </c>
      <c r="O445">
        <v>358.82333333333298</v>
      </c>
    </row>
    <row r="446" spans="14:15" x14ac:dyDescent="0.3">
      <c r="N446" t="s">
        <v>536</v>
      </c>
      <c r="O446">
        <v>344.69333333333299</v>
      </c>
    </row>
    <row r="447" spans="14:15" x14ac:dyDescent="0.3">
      <c r="N447" t="s">
        <v>537</v>
      </c>
      <c r="O447">
        <v>354.21833333333302</v>
      </c>
    </row>
    <row r="448" spans="14:15" x14ac:dyDescent="0.3">
      <c r="N448" t="s">
        <v>538</v>
      </c>
      <c r="O448">
        <v>344.671666666666</v>
      </c>
    </row>
    <row r="449" spans="14:15" x14ac:dyDescent="0.3">
      <c r="N449" t="s">
        <v>539</v>
      </c>
      <c r="O449">
        <v>334.71166666666602</v>
      </c>
    </row>
    <row r="450" spans="14:15" x14ac:dyDescent="0.3">
      <c r="N450" t="s">
        <v>540</v>
      </c>
      <c r="O450">
        <v>337.613333333333</v>
      </c>
    </row>
    <row r="451" spans="14:15" x14ac:dyDescent="0.3">
      <c r="N451" t="s">
        <v>541</v>
      </c>
      <c r="O451">
        <v>364.34666666666601</v>
      </c>
    </row>
    <row r="452" spans="14:15" x14ac:dyDescent="0.3">
      <c r="N452" t="s">
        <v>542</v>
      </c>
      <c r="O452">
        <v>343.95</v>
      </c>
    </row>
    <row r="453" spans="14:15" x14ac:dyDescent="0.3">
      <c r="N453" t="s">
        <v>543</v>
      </c>
      <c r="O453">
        <v>310.46666666666601</v>
      </c>
    </row>
    <row r="454" spans="14:15" x14ac:dyDescent="0.3">
      <c r="N454" t="s">
        <v>544</v>
      </c>
      <c r="O454">
        <v>338.433333333333</v>
      </c>
    </row>
    <row r="455" spans="14:15" x14ac:dyDescent="0.3">
      <c r="N455" t="s">
        <v>545</v>
      </c>
      <c r="O455">
        <v>346.33</v>
      </c>
    </row>
    <row r="456" spans="14:15" x14ac:dyDescent="0.3">
      <c r="N456" t="s">
        <v>546</v>
      </c>
      <c r="O456">
        <v>328.02</v>
      </c>
    </row>
    <row r="457" spans="14:15" x14ac:dyDescent="0.3">
      <c r="N457" t="s">
        <v>547</v>
      </c>
      <c r="O457">
        <v>321.94333333333299</v>
      </c>
    </row>
    <row r="458" spans="14:15" x14ac:dyDescent="0.3">
      <c r="N458" t="s">
        <v>548</v>
      </c>
      <c r="O458">
        <v>308.54000000000002</v>
      </c>
    </row>
    <row r="459" spans="14:15" x14ac:dyDescent="0.3">
      <c r="N459" t="s">
        <v>549</v>
      </c>
      <c r="O459">
        <v>312.49666666666599</v>
      </c>
    </row>
    <row r="460" spans="14:15" x14ac:dyDescent="0.3">
      <c r="N460" t="s">
        <v>550</v>
      </c>
      <c r="O460">
        <v>292.97833333333301</v>
      </c>
    </row>
    <row r="461" spans="14:15" x14ac:dyDescent="0.3">
      <c r="N461" t="s">
        <v>551</v>
      </c>
      <c r="O461">
        <v>307.35000000000002</v>
      </c>
    </row>
    <row r="462" spans="14:15" x14ac:dyDescent="0.3">
      <c r="N462" t="s">
        <v>552</v>
      </c>
      <c r="O462">
        <v>346.12166666666599</v>
      </c>
    </row>
    <row r="463" spans="14:15" x14ac:dyDescent="0.3">
      <c r="N463" t="s">
        <v>553</v>
      </c>
      <c r="O463">
        <v>374.183333333333</v>
      </c>
    </row>
    <row r="464" spans="14:15" x14ac:dyDescent="0.3">
      <c r="N464" t="s">
        <v>554</v>
      </c>
      <c r="O464">
        <v>323.863333333333</v>
      </c>
    </row>
    <row r="465" spans="14:15" x14ac:dyDescent="0.3">
      <c r="N465" t="s">
        <v>555</v>
      </c>
      <c r="O465">
        <v>326.69833333333298</v>
      </c>
    </row>
    <row r="466" spans="14:15" x14ac:dyDescent="0.3">
      <c r="N466" t="s">
        <v>556</v>
      </c>
      <c r="O466">
        <v>361.861666666666</v>
      </c>
    </row>
    <row r="467" spans="14:15" x14ac:dyDescent="0.3">
      <c r="N467" t="s">
        <v>557</v>
      </c>
      <c r="O467">
        <v>334.64499999999998</v>
      </c>
    </row>
    <row r="468" spans="14:15" x14ac:dyDescent="0.3">
      <c r="N468" t="s">
        <v>558</v>
      </c>
      <c r="O468">
        <v>317.28833333333301</v>
      </c>
    </row>
    <row r="469" spans="14:15" x14ac:dyDescent="0.3">
      <c r="N469" t="s">
        <v>559</v>
      </c>
      <c r="O469">
        <v>384.50666666666598</v>
      </c>
    </row>
    <row r="470" spans="14:15" x14ac:dyDescent="0.3">
      <c r="N470" t="s">
        <v>560</v>
      </c>
      <c r="O470">
        <v>327.87833333333299</v>
      </c>
    </row>
    <row r="471" spans="14:15" x14ac:dyDescent="0.3">
      <c r="N471" t="s">
        <v>561</v>
      </c>
      <c r="O471">
        <v>359.56833333333299</v>
      </c>
    </row>
    <row r="472" spans="14:15" x14ac:dyDescent="0.3">
      <c r="N472" t="s">
        <v>562</v>
      </c>
      <c r="O472">
        <v>317.23333333333301</v>
      </c>
    </row>
    <row r="473" spans="14:15" x14ac:dyDescent="0.3">
      <c r="N473" t="s">
        <v>563</v>
      </c>
      <c r="O473">
        <v>319.18666666666599</v>
      </c>
    </row>
    <row r="474" spans="14:15" x14ac:dyDescent="0.3">
      <c r="N474" t="s">
        <v>564</v>
      </c>
      <c r="O474">
        <v>329.95333333333298</v>
      </c>
    </row>
    <row r="475" spans="14:15" x14ac:dyDescent="0.3">
      <c r="N475" t="s">
        <v>565</v>
      </c>
      <c r="O475">
        <v>322.41000000000003</v>
      </c>
    </row>
    <row r="476" spans="14:15" x14ac:dyDescent="0.3">
      <c r="N476" t="s">
        <v>566</v>
      </c>
      <c r="O476">
        <v>346.62</v>
      </c>
    </row>
    <row r="477" spans="14:15" x14ac:dyDescent="0.3">
      <c r="N477" t="s">
        <v>567</v>
      </c>
      <c r="O477">
        <v>329.99666666666599</v>
      </c>
    </row>
    <row r="478" spans="14:15" x14ac:dyDescent="0.3">
      <c r="N478" t="s">
        <v>568</v>
      </c>
      <c r="O478">
        <v>354.79833333333301</v>
      </c>
    </row>
    <row r="479" spans="14:15" x14ac:dyDescent="0.3">
      <c r="N479" t="s">
        <v>569</v>
      </c>
      <c r="O479">
        <v>312.53166666666601</v>
      </c>
    </row>
    <row r="480" spans="14:15" x14ac:dyDescent="0.3">
      <c r="N480" t="s">
        <v>570</v>
      </c>
      <c r="O480">
        <v>345.42666666666599</v>
      </c>
    </row>
    <row r="481" spans="14:15" x14ac:dyDescent="0.3">
      <c r="N481" t="s">
        <v>571</v>
      </c>
      <c r="O481">
        <v>335.13</v>
      </c>
    </row>
    <row r="482" spans="14:15" x14ac:dyDescent="0.3">
      <c r="N482" t="s">
        <v>572</v>
      </c>
      <c r="O482">
        <v>337.14833333333303</v>
      </c>
    </row>
    <row r="483" spans="14:15" x14ac:dyDescent="0.3">
      <c r="N483" t="s">
        <v>573</v>
      </c>
      <c r="O483">
        <v>311.45999999999998</v>
      </c>
    </row>
    <row r="484" spans="14:15" x14ac:dyDescent="0.3">
      <c r="N484" t="s">
        <v>574</v>
      </c>
      <c r="O484">
        <v>292.74</v>
      </c>
    </row>
    <row r="485" spans="14:15" x14ac:dyDescent="0.3">
      <c r="N485" t="s">
        <v>575</v>
      </c>
      <c r="O485">
        <v>330.856666666666</v>
      </c>
    </row>
    <row r="486" spans="14:15" x14ac:dyDescent="0.3">
      <c r="N486" t="s">
        <v>576</v>
      </c>
      <c r="O486">
        <v>328.291666666666</v>
      </c>
    </row>
    <row r="487" spans="14:15" x14ac:dyDescent="0.3">
      <c r="N487" t="s">
        <v>577</v>
      </c>
      <c r="O487">
        <v>330.83166666666602</v>
      </c>
    </row>
    <row r="488" spans="14:15" x14ac:dyDescent="0.3">
      <c r="N488" t="s">
        <v>578</v>
      </c>
      <c r="O488">
        <v>343.52499999999998</v>
      </c>
    </row>
    <row r="489" spans="14:15" x14ac:dyDescent="0.3">
      <c r="N489" t="s">
        <v>579</v>
      </c>
      <c r="O489">
        <v>372.23</v>
      </c>
    </row>
    <row r="490" spans="14:15" x14ac:dyDescent="0.3">
      <c r="N490" t="s">
        <v>580</v>
      </c>
      <c r="O490">
        <v>331.67333333333301</v>
      </c>
    </row>
    <row r="491" spans="14:15" x14ac:dyDescent="0.3">
      <c r="N491" t="s">
        <v>581</v>
      </c>
      <c r="O491">
        <v>342.80500000000001</v>
      </c>
    </row>
    <row r="492" spans="14:15" x14ac:dyDescent="0.3">
      <c r="N492" t="s">
        <v>582</v>
      </c>
      <c r="O492">
        <v>327.41500000000002</v>
      </c>
    </row>
    <row r="493" spans="14:15" x14ac:dyDescent="0.3">
      <c r="N493" t="s">
        <v>583</v>
      </c>
      <c r="O493">
        <v>361.755</v>
      </c>
    </row>
    <row r="494" spans="14:15" x14ac:dyDescent="0.3">
      <c r="N494" t="s">
        <v>584</v>
      </c>
      <c r="O494">
        <v>290.95666666666602</v>
      </c>
    </row>
    <row r="495" spans="14:15" x14ac:dyDescent="0.3">
      <c r="N495" t="s">
        <v>585</v>
      </c>
      <c r="O495">
        <v>326.736666666666</v>
      </c>
    </row>
    <row r="496" spans="14:15" x14ac:dyDescent="0.3">
      <c r="N496" t="s">
        <v>586</v>
      </c>
      <c r="O496">
        <v>313.65499999999997</v>
      </c>
    </row>
    <row r="497" spans="14:15" x14ac:dyDescent="0.3">
      <c r="N497" t="s">
        <v>587</v>
      </c>
      <c r="O497">
        <v>303.87166666666599</v>
      </c>
    </row>
    <row r="498" spans="14:15" x14ac:dyDescent="0.3">
      <c r="N498" t="s">
        <v>588</v>
      </c>
      <c r="O498">
        <v>330.41166666666601</v>
      </c>
    </row>
    <row r="499" spans="14:15" x14ac:dyDescent="0.3">
      <c r="N499" t="s">
        <v>589</v>
      </c>
      <c r="O499">
        <v>329.97666666666601</v>
      </c>
    </row>
    <row r="500" spans="14:15" x14ac:dyDescent="0.3">
      <c r="N500" t="s">
        <v>590</v>
      </c>
      <c r="O500">
        <v>326.58166666666602</v>
      </c>
    </row>
    <row r="501" spans="14:15" x14ac:dyDescent="0.3">
      <c r="N501" t="s">
        <v>591</v>
      </c>
      <c r="O501">
        <v>331.22</v>
      </c>
    </row>
    <row r="502" spans="14:15" x14ac:dyDescent="0.3">
      <c r="N502" t="s">
        <v>592</v>
      </c>
      <c r="O502">
        <v>326.07166666666598</v>
      </c>
    </row>
    <row r="503" spans="14:15" x14ac:dyDescent="0.3">
      <c r="N503" t="s">
        <v>593</v>
      </c>
      <c r="O503">
        <v>340.671666666666</v>
      </c>
    </row>
    <row r="504" spans="14:15" x14ac:dyDescent="0.3">
      <c r="N504" t="s">
        <v>594</v>
      </c>
      <c r="O504">
        <v>343.35166666666601</v>
      </c>
    </row>
    <row r="505" spans="14:15" x14ac:dyDescent="0.3">
      <c r="N505" t="s">
        <v>595</v>
      </c>
      <c r="O505">
        <v>341.243333333333</v>
      </c>
    </row>
    <row r="506" spans="14:15" x14ac:dyDescent="0.3">
      <c r="N506" t="s">
        <v>596</v>
      </c>
      <c r="O506">
        <v>329.481666666666</v>
      </c>
    </row>
    <row r="507" spans="14:15" x14ac:dyDescent="0.3">
      <c r="N507" t="s">
        <v>597</v>
      </c>
      <c r="O507">
        <v>352.375</v>
      </c>
    </row>
    <row r="508" spans="14:15" x14ac:dyDescent="0.3">
      <c r="N508" t="s">
        <v>598</v>
      </c>
      <c r="O508">
        <v>310.97666666666601</v>
      </c>
    </row>
    <row r="509" spans="14:15" x14ac:dyDescent="0.3">
      <c r="N509" t="s">
        <v>599</v>
      </c>
      <c r="O509">
        <v>329.20833333333297</v>
      </c>
    </row>
    <row r="510" spans="14:15" x14ac:dyDescent="0.3">
      <c r="N510" t="s">
        <v>600</v>
      </c>
      <c r="O510">
        <v>358.72</v>
      </c>
    </row>
    <row r="511" spans="14:15" x14ac:dyDescent="0.3">
      <c r="N511" t="s">
        <v>601</v>
      </c>
      <c r="O511">
        <v>317.97833333333301</v>
      </c>
    </row>
    <row r="512" spans="14:15" x14ac:dyDescent="0.3">
      <c r="N512" t="s">
        <v>602</v>
      </c>
      <c r="O512">
        <v>357.19499999999999</v>
      </c>
    </row>
    <row r="513" spans="14:15" x14ac:dyDescent="0.3">
      <c r="N513" t="s">
        <v>603</v>
      </c>
      <c r="O513">
        <v>324.85333333333301</v>
      </c>
    </row>
    <row r="514" spans="14:15" x14ac:dyDescent="0.3">
      <c r="N514" t="s">
        <v>604</v>
      </c>
      <c r="O514">
        <v>303.82666666666597</v>
      </c>
    </row>
    <row r="515" spans="14:15" x14ac:dyDescent="0.3">
      <c r="N515" t="s">
        <v>605</v>
      </c>
      <c r="O515">
        <v>322.08333333333297</v>
      </c>
    </row>
    <row r="516" spans="14:15" x14ac:dyDescent="0.3">
      <c r="N516" t="s">
        <v>606</v>
      </c>
      <c r="O516">
        <v>317.49166666666599</v>
      </c>
    </row>
    <row r="517" spans="14:15" x14ac:dyDescent="0.3">
      <c r="N517" t="s">
        <v>607</v>
      </c>
      <c r="O517">
        <v>330.553333333333</v>
      </c>
    </row>
    <row r="518" spans="14:15" x14ac:dyDescent="0.3">
      <c r="N518" t="s">
        <v>608</v>
      </c>
      <c r="O518">
        <v>349.99</v>
      </c>
    </row>
    <row r="519" spans="14:15" x14ac:dyDescent="0.3">
      <c r="N519" t="s">
        <v>609</v>
      </c>
      <c r="O519">
        <v>316.921666666666</v>
      </c>
    </row>
    <row r="520" spans="14:15" x14ac:dyDescent="0.3">
      <c r="N520" t="s">
        <v>610</v>
      </c>
      <c r="O520">
        <v>350.495</v>
      </c>
    </row>
    <row r="521" spans="14:15" x14ac:dyDescent="0.3">
      <c r="N521" t="s">
        <v>611</v>
      </c>
      <c r="O521">
        <v>398.00666666666598</v>
      </c>
    </row>
    <row r="522" spans="14:15" x14ac:dyDescent="0.3">
      <c r="N522" t="s">
        <v>612</v>
      </c>
      <c r="O522">
        <v>358.25666666666598</v>
      </c>
    </row>
    <row r="523" spans="14:15" x14ac:dyDescent="0.3">
      <c r="N523" t="s">
        <v>613</v>
      </c>
      <c r="O523">
        <v>296.92666666666599</v>
      </c>
    </row>
    <row r="524" spans="14:15" x14ac:dyDescent="0.3">
      <c r="N524" t="s">
        <v>614</v>
      </c>
      <c r="O524">
        <v>311.34833333333302</v>
      </c>
    </row>
    <row r="525" spans="14:15" x14ac:dyDescent="0.3">
      <c r="N525" t="s">
        <v>615</v>
      </c>
      <c r="O525">
        <v>344.546666666666</v>
      </c>
    </row>
    <row r="526" spans="14:15" x14ac:dyDescent="0.3">
      <c r="N526" t="s">
        <v>616</v>
      </c>
      <c r="O526">
        <v>348.72166666666601</v>
      </c>
    </row>
    <row r="527" spans="14:15" x14ac:dyDescent="0.3">
      <c r="N527" t="s">
        <v>617</v>
      </c>
      <c r="O527">
        <v>379.03833333333301</v>
      </c>
    </row>
    <row r="528" spans="14:15" x14ac:dyDescent="0.3">
      <c r="N528" t="s">
        <v>618</v>
      </c>
      <c r="O528">
        <v>377.55</v>
      </c>
    </row>
    <row r="529" spans="14:15" x14ac:dyDescent="0.3">
      <c r="N529" t="s">
        <v>619</v>
      </c>
      <c r="O529">
        <v>322.98333333333301</v>
      </c>
    </row>
    <row r="530" spans="14:15" x14ac:dyDescent="0.3">
      <c r="N530" t="s">
        <v>620</v>
      </c>
      <c r="O530">
        <v>339.68833333333299</v>
      </c>
    </row>
    <row r="531" spans="14:15" x14ac:dyDescent="0.3">
      <c r="N531" t="s">
        <v>621</v>
      </c>
      <c r="O531">
        <v>349.28166666666601</v>
      </c>
    </row>
    <row r="532" spans="14:15" x14ac:dyDescent="0.3">
      <c r="N532" t="s">
        <v>622</v>
      </c>
      <c r="O532">
        <v>395.77</v>
      </c>
    </row>
    <row r="533" spans="14:15" x14ac:dyDescent="0.3">
      <c r="N533" t="s">
        <v>623</v>
      </c>
      <c r="O533">
        <v>365.07333333333298</v>
      </c>
    </row>
    <row r="534" spans="14:15" x14ac:dyDescent="0.3">
      <c r="N534" t="s">
        <v>624</v>
      </c>
      <c r="O534">
        <v>285.73500000000001</v>
      </c>
    </row>
    <row r="535" spans="14:15" x14ac:dyDescent="0.3">
      <c r="N535" t="s">
        <v>625</v>
      </c>
      <c r="O535">
        <v>364.22500000000002</v>
      </c>
    </row>
    <row r="536" spans="14:15" x14ac:dyDescent="0.3">
      <c r="N536" t="s">
        <v>626</v>
      </c>
      <c r="O536">
        <v>340.33166666666602</v>
      </c>
    </row>
    <row r="537" spans="14:15" x14ac:dyDescent="0.3">
      <c r="N537" t="s">
        <v>627</v>
      </c>
      <c r="O537">
        <v>289.46333333333303</v>
      </c>
    </row>
    <row r="538" spans="14:15" x14ac:dyDescent="0.3">
      <c r="N538" t="s">
        <v>628</v>
      </c>
      <c r="O538">
        <v>283.91166666666601</v>
      </c>
    </row>
    <row r="539" spans="14:15" x14ac:dyDescent="0.3">
      <c r="N539" t="s">
        <v>629</v>
      </c>
      <c r="O539">
        <v>303.29000000000002</v>
      </c>
    </row>
    <row r="540" spans="14:15" x14ac:dyDescent="0.3">
      <c r="N540" t="s">
        <v>630</v>
      </c>
      <c r="O540">
        <v>303.55500000000001</v>
      </c>
    </row>
    <row r="541" spans="14:15" x14ac:dyDescent="0.3">
      <c r="N541" t="s">
        <v>631</v>
      </c>
      <c r="O541">
        <v>344.60333333333301</v>
      </c>
    </row>
    <row r="542" spans="14:15" x14ac:dyDescent="0.3">
      <c r="N542" t="s">
        <v>632</v>
      </c>
      <c r="O542">
        <v>349.36666666666599</v>
      </c>
    </row>
    <row r="543" spans="14:15" x14ac:dyDescent="0.3">
      <c r="N543" t="s">
        <v>633</v>
      </c>
      <c r="O543">
        <v>351.29</v>
      </c>
    </row>
    <row r="544" spans="14:15" x14ac:dyDescent="0.3">
      <c r="N544" t="s">
        <v>634</v>
      </c>
      <c r="O544">
        <v>341.065</v>
      </c>
    </row>
    <row r="545" spans="14:15" x14ac:dyDescent="0.3">
      <c r="N545" t="s">
        <v>635</v>
      </c>
      <c r="O545">
        <v>307.92666666666599</v>
      </c>
    </row>
    <row r="546" spans="14:15" x14ac:dyDescent="0.3">
      <c r="N546" t="s">
        <v>636</v>
      </c>
      <c r="O546">
        <v>324.02666666666602</v>
      </c>
    </row>
    <row r="547" spans="14:15" x14ac:dyDescent="0.3">
      <c r="N547" t="s">
        <v>637</v>
      </c>
      <c r="O547">
        <v>376.995</v>
      </c>
    </row>
    <row r="548" spans="14:15" x14ac:dyDescent="0.3">
      <c r="N548" t="s">
        <v>638</v>
      </c>
      <c r="O548">
        <v>324.97666666666601</v>
      </c>
    </row>
    <row r="549" spans="14:15" x14ac:dyDescent="0.3">
      <c r="N549" t="s">
        <v>639</v>
      </c>
      <c r="O549">
        <v>346.988333333333</v>
      </c>
    </row>
    <row r="550" spans="14:15" x14ac:dyDescent="0.3">
      <c r="N550" t="s">
        <v>640</v>
      </c>
      <c r="O550">
        <v>302.43833333333299</v>
      </c>
    </row>
    <row r="551" spans="14:15" x14ac:dyDescent="0.3">
      <c r="N551" t="s">
        <v>641</v>
      </c>
      <c r="O551">
        <v>319.02</v>
      </c>
    </row>
    <row r="552" spans="14:15" x14ac:dyDescent="0.3">
      <c r="N552" t="s">
        <v>642</v>
      </c>
      <c r="O552">
        <v>343.17333333333301</v>
      </c>
    </row>
    <row r="553" spans="14:15" x14ac:dyDescent="0.3">
      <c r="N553" t="s">
        <v>643</v>
      </c>
      <c r="O553">
        <v>319.03500000000003</v>
      </c>
    </row>
    <row r="554" spans="14:15" x14ac:dyDescent="0.3">
      <c r="N554" t="s">
        <v>644</v>
      </c>
      <c r="O554">
        <v>369.79333333333301</v>
      </c>
    </row>
    <row r="555" spans="14:15" x14ac:dyDescent="0.3">
      <c r="N555" t="s">
        <v>645</v>
      </c>
      <c r="O555">
        <v>332.42666666666599</v>
      </c>
    </row>
    <row r="556" spans="14:15" x14ac:dyDescent="0.3">
      <c r="N556" t="s">
        <v>646</v>
      </c>
      <c r="O556">
        <v>319.17</v>
      </c>
    </row>
    <row r="557" spans="14:15" x14ac:dyDescent="0.3">
      <c r="N557" t="s">
        <v>647</v>
      </c>
      <c r="O557">
        <v>335.47333333333302</v>
      </c>
    </row>
    <row r="558" spans="14:15" x14ac:dyDescent="0.3">
      <c r="N558" t="s">
        <v>648</v>
      </c>
      <c r="O558">
        <v>369.803333333333</v>
      </c>
    </row>
    <row r="559" spans="14:15" x14ac:dyDescent="0.3">
      <c r="N559" t="s">
        <v>649</v>
      </c>
      <c r="O559">
        <v>354.118333333333</v>
      </c>
    </row>
    <row r="560" spans="14:15" x14ac:dyDescent="0.3">
      <c r="N560" t="s">
        <v>650</v>
      </c>
      <c r="O560">
        <v>322.60000000000002</v>
      </c>
    </row>
    <row r="561" spans="14:15" x14ac:dyDescent="0.3">
      <c r="N561" t="s">
        <v>651</v>
      </c>
      <c r="O561">
        <v>326.41166666666601</v>
      </c>
    </row>
    <row r="562" spans="14:15" x14ac:dyDescent="0.3">
      <c r="N562" t="s">
        <v>652</v>
      </c>
      <c r="O562">
        <v>327.743333333333</v>
      </c>
    </row>
    <row r="563" spans="14:15" x14ac:dyDescent="0.3">
      <c r="N563" t="s">
        <v>653</v>
      </c>
      <c r="O563">
        <v>330.125</v>
      </c>
    </row>
    <row r="564" spans="14:15" x14ac:dyDescent="0.3">
      <c r="N564" t="s">
        <v>654</v>
      </c>
      <c r="O564">
        <v>290.31</v>
      </c>
    </row>
    <row r="565" spans="14:15" x14ac:dyDescent="0.3">
      <c r="N565" t="s">
        <v>655</v>
      </c>
      <c r="O565">
        <v>311.868333333333</v>
      </c>
    </row>
    <row r="566" spans="14:15" x14ac:dyDescent="0.3">
      <c r="N566" t="s">
        <v>656</v>
      </c>
      <c r="O566">
        <v>332.23333333333301</v>
      </c>
    </row>
    <row r="567" spans="14:15" x14ac:dyDescent="0.3">
      <c r="N567" t="s">
        <v>657</v>
      </c>
      <c r="O567">
        <v>340.255</v>
      </c>
    </row>
    <row r="568" spans="14:15" x14ac:dyDescent="0.3">
      <c r="N568" t="s">
        <v>658</v>
      </c>
      <c r="O568">
        <v>294.70833333333297</v>
      </c>
    </row>
    <row r="569" spans="14:15" x14ac:dyDescent="0.3">
      <c r="N569" t="s">
        <v>659</v>
      </c>
      <c r="O569">
        <v>362.93833333333299</v>
      </c>
    </row>
    <row r="570" spans="14:15" x14ac:dyDescent="0.3">
      <c r="N570" t="s">
        <v>660</v>
      </c>
      <c r="O570">
        <v>343.80500000000001</v>
      </c>
    </row>
    <row r="571" spans="14:15" x14ac:dyDescent="0.3">
      <c r="N571" t="s">
        <v>661</v>
      </c>
      <c r="O571">
        <v>335.14</v>
      </c>
    </row>
    <row r="572" spans="14:15" x14ac:dyDescent="0.3">
      <c r="N572" t="s">
        <v>662</v>
      </c>
      <c r="O572">
        <v>286.01833333333298</v>
      </c>
    </row>
    <row r="573" spans="14:15" x14ac:dyDescent="0.3">
      <c r="N573" t="s">
        <v>663</v>
      </c>
      <c r="O573">
        <v>333.95333333333298</v>
      </c>
    </row>
    <row r="574" spans="14:15" x14ac:dyDescent="0.3">
      <c r="N574" t="s">
        <v>664</v>
      </c>
      <c r="O574">
        <v>353.493333333333</v>
      </c>
    </row>
    <row r="575" spans="14:15" x14ac:dyDescent="0.3">
      <c r="N575" t="s">
        <v>665</v>
      </c>
      <c r="O575">
        <v>319.88</v>
      </c>
    </row>
    <row r="576" spans="14:15" x14ac:dyDescent="0.3">
      <c r="N576" t="s">
        <v>666</v>
      </c>
      <c r="O576">
        <v>319.28833333333301</v>
      </c>
    </row>
    <row r="577" spans="14:15" x14ac:dyDescent="0.3">
      <c r="N577" t="s">
        <v>667</v>
      </c>
      <c r="O577">
        <v>331.58166666666602</v>
      </c>
    </row>
    <row r="578" spans="14:15" x14ac:dyDescent="0.3">
      <c r="N578" t="s">
        <v>668</v>
      </c>
      <c r="O578">
        <v>327.986666666666</v>
      </c>
    </row>
    <row r="579" spans="14:15" x14ac:dyDescent="0.3">
      <c r="N579" t="s">
        <v>669</v>
      </c>
      <c r="O579">
        <v>301.64999999999998</v>
      </c>
    </row>
    <row r="580" spans="14:15" x14ac:dyDescent="0.3">
      <c r="N580" t="s">
        <v>670</v>
      </c>
      <c r="O580">
        <v>327</v>
      </c>
    </row>
    <row r="581" spans="14:15" x14ac:dyDescent="0.3">
      <c r="N581" t="s">
        <v>671</v>
      </c>
      <c r="O581">
        <v>321.808333333333</v>
      </c>
    </row>
    <row r="582" spans="14:15" x14ac:dyDescent="0.3">
      <c r="N582" t="s">
        <v>672</v>
      </c>
      <c r="O582">
        <v>346.17500000000001</v>
      </c>
    </row>
    <row r="583" spans="14:15" x14ac:dyDescent="0.3">
      <c r="N583" t="s">
        <v>673</v>
      </c>
      <c r="O583">
        <v>323.45999999999998</v>
      </c>
    </row>
    <row r="584" spans="14:15" x14ac:dyDescent="0.3">
      <c r="N584" t="s">
        <v>674</v>
      </c>
      <c r="O584">
        <v>352.37333333333299</v>
      </c>
    </row>
    <row r="585" spans="14:15" x14ac:dyDescent="0.3">
      <c r="N585" t="s">
        <v>675</v>
      </c>
      <c r="O585">
        <v>305.315</v>
      </c>
    </row>
    <row r="586" spans="14:15" x14ac:dyDescent="0.3">
      <c r="N586" t="s">
        <v>676</v>
      </c>
      <c r="O586">
        <v>346.255</v>
      </c>
    </row>
    <row r="587" spans="14:15" x14ac:dyDescent="0.3">
      <c r="N587" t="s">
        <v>677</v>
      </c>
      <c r="O587">
        <v>372.69833333333298</v>
      </c>
    </row>
    <row r="588" spans="14:15" x14ac:dyDescent="0.3">
      <c r="N588" t="s">
        <v>678</v>
      </c>
      <c r="O588">
        <v>325.96666666666601</v>
      </c>
    </row>
    <row r="589" spans="14:15" x14ac:dyDescent="0.3">
      <c r="N589" t="s">
        <v>679</v>
      </c>
      <c r="O589">
        <v>334.31833333333299</v>
      </c>
    </row>
    <row r="590" spans="14:15" x14ac:dyDescent="0.3">
      <c r="N590" t="s">
        <v>680</v>
      </c>
      <c r="O590">
        <v>348.21833333333302</v>
      </c>
    </row>
    <row r="591" spans="14:15" x14ac:dyDescent="0.3">
      <c r="N591" t="s">
        <v>681</v>
      </c>
      <c r="O591">
        <v>315.33333333333297</v>
      </c>
    </row>
    <row r="592" spans="14:15" x14ac:dyDescent="0.3">
      <c r="N592" t="s">
        <v>682</v>
      </c>
      <c r="O592">
        <v>360.15166666666602</v>
      </c>
    </row>
    <row r="593" spans="14:15" x14ac:dyDescent="0.3">
      <c r="N593" t="s">
        <v>683</v>
      </c>
      <c r="O593">
        <v>361.44499999999999</v>
      </c>
    </row>
    <row r="594" spans="14:15" x14ac:dyDescent="0.3">
      <c r="N594" t="s">
        <v>684</v>
      </c>
      <c r="O594">
        <v>352.921666666666</v>
      </c>
    </row>
    <row r="595" spans="14:15" x14ac:dyDescent="0.3">
      <c r="N595" t="s">
        <v>685</v>
      </c>
      <c r="O595">
        <v>322.08833333333303</v>
      </c>
    </row>
    <row r="596" spans="14:15" x14ac:dyDescent="0.3">
      <c r="N596" t="s">
        <v>686</v>
      </c>
      <c r="O596">
        <v>349.02</v>
      </c>
    </row>
    <row r="597" spans="14:15" x14ac:dyDescent="0.3">
      <c r="N597" t="s">
        <v>687</v>
      </c>
      <c r="O597">
        <v>367.40166666666602</v>
      </c>
    </row>
    <row r="598" spans="14:15" x14ac:dyDescent="0.3">
      <c r="N598" t="s">
        <v>688</v>
      </c>
      <c r="O598">
        <v>315.29333333333301</v>
      </c>
    </row>
    <row r="599" spans="14:15" x14ac:dyDescent="0.3">
      <c r="N599" t="s">
        <v>689</v>
      </c>
      <c r="O599">
        <v>334.33666666666602</v>
      </c>
    </row>
    <row r="600" spans="14:15" x14ac:dyDescent="0.3">
      <c r="N600" t="s">
        <v>690</v>
      </c>
      <c r="O600">
        <v>276.60833333333301</v>
      </c>
    </row>
    <row r="601" spans="14:15" x14ac:dyDescent="0.3">
      <c r="N601" t="s">
        <v>691</v>
      </c>
      <c r="O601">
        <v>322.486666666666</v>
      </c>
    </row>
    <row r="602" spans="14:15" x14ac:dyDescent="0.3">
      <c r="N602" t="s">
        <v>692</v>
      </c>
      <c r="O602">
        <v>345.32166666666598</v>
      </c>
    </row>
    <row r="603" spans="14:15" x14ac:dyDescent="0.3">
      <c r="N603" t="s">
        <v>693</v>
      </c>
      <c r="O603">
        <v>328.10166666666601</v>
      </c>
    </row>
    <row r="604" spans="14:15" x14ac:dyDescent="0.3">
      <c r="N604" t="s">
        <v>694</v>
      </c>
      <c r="O604">
        <v>357.238333333333</v>
      </c>
    </row>
    <row r="605" spans="14:15" x14ac:dyDescent="0.3">
      <c r="N605" t="s">
        <v>695</v>
      </c>
      <c r="O605">
        <v>385.07</v>
      </c>
    </row>
    <row r="606" spans="14:15" x14ac:dyDescent="0.3">
      <c r="N606" t="s">
        <v>696</v>
      </c>
      <c r="O606">
        <v>323.8</v>
      </c>
    </row>
    <row r="607" spans="14:15" x14ac:dyDescent="0.3">
      <c r="N607" t="s">
        <v>697</v>
      </c>
      <c r="O607">
        <v>322.94333333333299</v>
      </c>
    </row>
    <row r="608" spans="14:15" x14ac:dyDescent="0.3">
      <c r="N608" t="s">
        <v>698</v>
      </c>
      <c r="O608">
        <v>359.34666666666601</v>
      </c>
    </row>
    <row r="609" spans="14:15" x14ac:dyDescent="0.3">
      <c r="N609" t="s">
        <v>699</v>
      </c>
      <c r="O609">
        <v>311.685</v>
      </c>
    </row>
    <row r="610" spans="14:15" x14ac:dyDescent="0.3">
      <c r="N610" t="s">
        <v>700</v>
      </c>
      <c r="O610">
        <v>331.14499999999998</v>
      </c>
    </row>
    <row r="611" spans="14:15" x14ac:dyDescent="0.3">
      <c r="N611" t="s">
        <v>701</v>
      </c>
      <c r="O611">
        <v>337.755</v>
      </c>
    </row>
    <row r="612" spans="14:15" x14ac:dyDescent="0.3">
      <c r="N612" t="s">
        <v>702</v>
      </c>
      <c r="O612">
        <v>312.52666666666602</v>
      </c>
    </row>
    <row r="613" spans="14:15" x14ac:dyDescent="0.3">
      <c r="N613" t="s">
        <v>703</v>
      </c>
      <c r="O613">
        <v>308.421666666666</v>
      </c>
    </row>
    <row r="614" spans="14:15" x14ac:dyDescent="0.3">
      <c r="N614" t="s">
        <v>704</v>
      </c>
      <c r="O614">
        <v>333.41833333333301</v>
      </c>
    </row>
    <row r="615" spans="14:15" x14ac:dyDescent="0.3">
      <c r="N615" t="s">
        <v>705</v>
      </c>
      <c r="O615">
        <v>409.17</v>
      </c>
    </row>
    <row r="616" spans="14:15" x14ac:dyDescent="0.3">
      <c r="N616" t="s">
        <v>706</v>
      </c>
      <c r="O616">
        <v>346.00833333333298</v>
      </c>
    </row>
    <row r="617" spans="14:15" x14ac:dyDescent="0.3">
      <c r="N617" t="s">
        <v>707</v>
      </c>
      <c r="O617">
        <v>299.72333333333302</v>
      </c>
    </row>
    <row r="618" spans="14:15" x14ac:dyDescent="0.3">
      <c r="N618" t="s">
        <v>708</v>
      </c>
      <c r="O618">
        <v>361.93833333333299</v>
      </c>
    </row>
    <row r="619" spans="14:15" x14ac:dyDescent="0.3">
      <c r="N619" t="s">
        <v>709</v>
      </c>
      <c r="O619">
        <v>359.995</v>
      </c>
    </row>
    <row r="620" spans="14:15" x14ac:dyDescent="0.3">
      <c r="N620" t="s">
        <v>710</v>
      </c>
      <c r="O620">
        <v>335.986666666666</v>
      </c>
    </row>
    <row r="621" spans="14:15" x14ac:dyDescent="0.3">
      <c r="N621" t="s">
        <v>711</v>
      </c>
      <c r="O621">
        <v>355.755</v>
      </c>
    </row>
    <row r="622" spans="14:15" x14ac:dyDescent="0.3">
      <c r="N622" t="s">
        <v>712</v>
      </c>
      <c r="O622">
        <v>332.57833333333298</v>
      </c>
    </row>
    <row r="623" spans="14:15" x14ac:dyDescent="0.3">
      <c r="N623" t="s">
        <v>713</v>
      </c>
      <c r="O623">
        <v>317.84666666666601</v>
      </c>
    </row>
    <row r="624" spans="14:15" x14ac:dyDescent="0.3">
      <c r="N624" t="s">
        <v>714</v>
      </c>
      <c r="O624">
        <v>343.18</v>
      </c>
    </row>
    <row r="625" spans="14:15" x14ac:dyDescent="0.3">
      <c r="N625" t="s">
        <v>715</v>
      </c>
      <c r="O625">
        <v>349.486666666666</v>
      </c>
    </row>
    <row r="626" spans="14:15" x14ac:dyDescent="0.3">
      <c r="N626" t="s">
        <v>716</v>
      </c>
      <c r="O626">
        <v>365.19833333333298</v>
      </c>
    </row>
    <row r="627" spans="14:15" x14ac:dyDescent="0.3">
      <c r="N627" t="s">
        <v>717</v>
      </c>
      <c r="O627">
        <v>365.47333333333302</v>
      </c>
    </row>
    <row r="628" spans="14:15" x14ac:dyDescent="0.3">
      <c r="N628" t="s">
        <v>718</v>
      </c>
      <c r="O628">
        <v>310.01</v>
      </c>
    </row>
    <row r="629" spans="14:15" x14ac:dyDescent="0.3">
      <c r="N629" t="s">
        <v>719</v>
      </c>
      <c r="O629">
        <v>407.39833333333303</v>
      </c>
    </row>
    <row r="630" spans="14:15" x14ac:dyDescent="0.3">
      <c r="N630" t="s">
        <v>720</v>
      </c>
      <c r="O630">
        <v>338.6</v>
      </c>
    </row>
    <row r="631" spans="14:15" x14ac:dyDescent="0.3">
      <c r="N631" t="s">
        <v>721</v>
      </c>
      <c r="O631">
        <v>350.96499999999997</v>
      </c>
    </row>
    <row r="632" spans="14:15" x14ac:dyDescent="0.3">
      <c r="N632" t="s">
        <v>722</v>
      </c>
      <c r="O632">
        <v>320.47500000000002</v>
      </c>
    </row>
    <row r="633" spans="14:15" x14ac:dyDescent="0.3">
      <c r="N633" t="s">
        <v>723</v>
      </c>
      <c r="O633">
        <v>341.42666666666599</v>
      </c>
    </row>
    <row r="634" spans="14:15" x14ac:dyDescent="0.3">
      <c r="N634" t="s">
        <v>724</v>
      </c>
      <c r="O634">
        <v>332.78</v>
      </c>
    </row>
    <row r="635" spans="14:15" x14ac:dyDescent="0.3">
      <c r="N635" t="s">
        <v>725</v>
      </c>
      <c r="O635">
        <v>306.66333333333301</v>
      </c>
    </row>
    <row r="636" spans="14:15" x14ac:dyDescent="0.3">
      <c r="N636" t="s">
        <v>726</v>
      </c>
      <c r="O636">
        <v>332.89</v>
      </c>
    </row>
    <row r="637" spans="14:15" x14ac:dyDescent="0.3">
      <c r="N637" t="s">
        <v>727</v>
      </c>
      <c r="O637">
        <v>337.89499999999998</v>
      </c>
    </row>
    <row r="638" spans="14:15" x14ac:dyDescent="0.3">
      <c r="N638" t="s">
        <v>728</v>
      </c>
      <c r="O638">
        <v>343.183333333333</v>
      </c>
    </row>
    <row r="639" spans="14:15" x14ac:dyDescent="0.3">
      <c r="N639" t="s">
        <v>729</v>
      </c>
      <c r="O639">
        <v>347.12</v>
      </c>
    </row>
    <row r="640" spans="14:15" x14ac:dyDescent="0.3">
      <c r="N640" t="s">
        <v>730</v>
      </c>
      <c r="O640">
        <v>349.33</v>
      </c>
    </row>
    <row r="641" spans="14:15" x14ac:dyDescent="0.3">
      <c r="N641" t="s">
        <v>731</v>
      </c>
      <c r="O641">
        <v>328.62833333333299</v>
      </c>
    </row>
    <row r="642" spans="14:15" x14ac:dyDescent="0.3">
      <c r="N642" t="s">
        <v>732</v>
      </c>
      <c r="O642">
        <v>319.14333333333298</v>
      </c>
    </row>
    <row r="643" spans="14:15" x14ac:dyDescent="0.3">
      <c r="N643" t="s">
        <v>733</v>
      </c>
      <c r="O643">
        <v>367.45166666666597</v>
      </c>
    </row>
    <row r="644" spans="14:15" x14ac:dyDescent="0.3">
      <c r="N644" t="s">
        <v>734</v>
      </c>
      <c r="O644">
        <v>363.84500000000003</v>
      </c>
    </row>
    <row r="645" spans="14:15" x14ac:dyDescent="0.3">
      <c r="N645" t="s">
        <v>735</v>
      </c>
      <c r="O645">
        <v>345.88499999999999</v>
      </c>
    </row>
    <row r="646" spans="14:15" x14ac:dyDescent="0.3">
      <c r="N646" t="s">
        <v>736</v>
      </c>
      <c r="O646">
        <v>317.31833333333299</v>
      </c>
    </row>
    <row r="647" spans="14:15" x14ac:dyDescent="0.3">
      <c r="N647" t="s">
        <v>737</v>
      </c>
      <c r="O647">
        <v>317.98</v>
      </c>
    </row>
    <row r="648" spans="14:15" x14ac:dyDescent="0.3">
      <c r="N648" t="s">
        <v>738</v>
      </c>
      <c r="O648">
        <v>365.2</v>
      </c>
    </row>
    <row r="649" spans="14:15" x14ac:dyDescent="0.3">
      <c r="N649" t="s">
        <v>739</v>
      </c>
      <c r="O649">
        <v>334.01333333333298</v>
      </c>
    </row>
    <row r="650" spans="14:15" x14ac:dyDescent="0.3">
      <c r="N650" t="s">
        <v>740</v>
      </c>
      <c r="O650">
        <v>344.38</v>
      </c>
    </row>
    <row r="651" spans="14:15" x14ac:dyDescent="0.3">
      <c r="N651" t="s">
        <v>741</v>
      </c>
      <c r="O651">
        <v>321.63333333333298</v>
      </c>
    </row>
    <row r="652" spans="14:15" x14ac:dyDescent="0.3">
      <c r="N652" t="s">
        <v>742</v>
      </c>
      <c r="O652">
        <v>351.47</v>
      </c>
    </row>
    <row r="653" spans="14:15" x14ac:dyDescent="0.3">
      <c r="N653" t="s">
        <v>743</v>
      </c>
      <c r="O653">
        <v>303.77833333333302</v>
      </c>
    </row>
    <row r="654" spans="14:15" x14ac:dyDescent="0.3">
      <c r="N654" t="s">
        <v>744</v>
      </c>
      <c r="O654">
        <v>293.64333333333298</v>
      </c>
    </row>
    <row r="655" spans="14:15" x14ac:dyDescent="0.3">
      <c r="N655" t="s">
        <v>745</v>
      </c>
      <c r="O655">
        <v>306.625</v>
      </c>
    </row>
    <row r="656" spans="14:15" x14ac:dyDescent="0.3">
      <c r="N656" t="s">
        <v>746</v>
      </c>
      <c r="O656">
        <v>379.46666666666601</v>
      </c>
    </row>
    <row r="657" spans="14:15" x14ac:dyDescent="0.3">
      <c r="N657" t="s">
        <v>747</v>
      </c>
      <c r="O657">
        <v>329.88666666666597</v>
      </c>
    </row>
    <row r="658" spans="14:15" x14ac:dyDescent="0.3">
      <c r="N658" t="s">
        <v>748</v>
      </c>
      <c r="O658">
        <v>329.74833333333299</v>
      </c>
    </row>
    <row r="659" spans="14:15" x14ac:dyDescent="0.3">
      <c r="N659" t="s">
        <v>749</v>
      </c>
      <c r="O659">
        <v>327.44833333333298</v>
      </c>
    </row>
    <row r="660" spans="14:15" x14ac:dyDescent="0.3">
      <c r="N660" t="s">
        <v>750</v>
      </c>
      <c r="O660">
        <v>360.93833333333299</v>
      </c>
    </row>
    <row r="661" spans="14:15" x14ac:dyDescent="0.3">
      <c r="N661" t="s">
        <v>751</v>
      </c>
      <c r="O661">
        <v>341.67500000000001</v>
      </c>
    </row>
    <row r="662" spans="14:15" x14ac:dyDescent="0.3">
      <c r="N662" t="s">
        <v>752</v>
      </c>
      <c r="O662">
        <v>317.65166666666602</v>
      </c>
    </row>
    <row r="663" spans="14:15" x14ac:dyDescent="0.3">
      <c r="N663" t="s">
        <v>753</v>
      </c>
      <c r="O663">
        <v>303.46166666666602</v>
      </c>
    </row>
    <row r="664" spans="14:15" x14ac:dyDescent="0.3">
      <c r="N664" t="s">
        <v>754</v>
      </c>
      <c r="O664">
        <v>359.26499999999999</v>
      </c>
    </row>
    <row r="665" spans="14:15" x14ac:dyDescent="0.3">
      <c r="N665" t="s">
        <v>755</v>
      </c>
      <c r="O665">
        <v>348.3</v>
      </c>
    </row>
    <row r="666" spans="14:15" x14ac:dyDescent="0.3">
      <c r="N666" t="s">
        <v>756</v>
      </c>
      <c r="O666">
        <v>359.11</v>
      </c>
    </row>
    <row r="667" spans="14:15" x14ac:dyDescent="0.3">
      <c r="N667" t="s">
        <v>757</v>
      </c>
      <c r="O667">
        <v>338.78666666666601</v>
      </c>
    </row>
    <row r="668" spans="14:15" x14ac:dyDescent="0.3">
      <c r="N668" t="s">
        <v>758</v>
      </c>
      <c r="O668">
        <v>340.96833333333302</v>
      </c>
    </row>
    <row r="669" spans="14:15" x14ac:dyDescent="0.3">
      <c r="N669" t="s">
        <v>759</v>
      </c>
      <c r="O669">
        <v>306.76166666666597</v>
      </c>
    </row>
    <row r="670" spans="14:15" x14ac:dyDescent="0.3">
      <c r="N670" t="s">
        <v>760</v>
      </c>
      <c r="O670">
        <v>324.58499999999998</v>
      </c>
    </row>
    <row r="671" spans="14:15" x14ac:dyDescent="0.3">
      <c r="N671" t="s">
        <v>761</v>
      </c>
      <c r="O671">
        <v>367.65166666666602</v>
      </c>
    </row>
    <row r="672" spans="14:15" x14ac:dyDescent="0.3">
      <c r="N672" t="s">
        <v>762</v>
      </c>
      <c r="O672">
        <v>382.59</v>
      </c>
    </row>
    <row r="673" spans="14:15" x14ac:dyDescent="0.3">
      <c r="N673" t="s">
        <v>763</v>
      </c>
      <c r="O673">
        <v>320.07499999999999</v>
      </c>
    </row>
    <row r="674" spans="14:15" x14ac:dyDescent="0.3">
      <c r="N674" t="s">
        <v>764</v>
      </c>
      <c r="O674">
        <v>338.33</v>
      </c>
    </row>
    <row r="675" spans="14:15" x14ac:dyDescent="0.3">
      <c r="N675" t="s">
        <v>765</v>
      </c>
      <c r="O675">
        <v>325.16333333333301</v>
      </c>
    </row>
    <row r="676" spans="14:15" x14ac:dyDescent="0.3">
      <c r="N676" t="s">
        <v>766</v>
      </c>
      <c r="O676">
        <v>303.33499999999998</v>
      </c>
    </row>
    <row r="677" spans="14:15" x14ac:dyDescent="0.3">
      <c r="N677" t="s">
        <v>767</v>
      </c>
      <c r="O677">
        <v>360.85166666666601</v>
      </c>
    </row>
    <row r="678" spans="14:15" x14ac:dyDescent="0.3">
      <c r="N678" t="s">
        <v>768</v>
      </c>
      <c r="O678">
        <v>355.27166666666602</v>
      </c>
    </row>
    <row r="679" spans="14:15" x14ac:dyDescent="0.3">
      <c r="N679" t="s">
        <v>769</v>
      </c>
      <c r="O679">
        <v>304.13333333333298</v>
      </c>
    </row>
    <row r="680" spans="14:15" x14ac:dyDescent="0.3">
      <c r="N680" t="s">
        <v>770</v>
      </c>
      <c r="O680">
        <v>315.49833333333299</v>
      </c>
    </row>
    <row r="681" spans="14:15" x14ac:dyDescent="0.3">
      <c r="N681" t="s">
        <v>771</v>
      </c>
      <c r="O681">
        <v>334.75333333333299</v>
      </c>
    </row>
    <row r="682" spans="14:15" x14ac:dyDescent="0.3">
      <c r="N682" t="s">
        <v>772</v>
      </c>
      <c r="O682">
        <v>345.94499999999999</v>
      </c>
    </row>
    <row r="683" spans="14:15" x14ac:dyDescent="0.3">
      <c r="N683" t="s">
        <v>773</v>
      </c>
      <c r="O683">
        <v>307.91500000000002</v>
      </c>
    </row>
    <row r="684" spans="14:15" x14ac:dyDescent="0.3">
      <c r="N684" t="s">
        <v>774</v>
      </c>
      <c r="O684">
        <v>377.07666666666597</v>
      </c>
    </row>
    <row r="685" spans="14:15" x14ac:dyDescent="0.3">
      <c r="N685" t="s">
        <v>775</v>
      </c>
      <c r="O685">
        <v>296.75333333333299</v>
      </c>
    </row>
    <row r="686" spans="14:15" x14ac:dyDescent="0.3">
      <c r="N686" t="s">
        <v>776</v>
      </c>
      <c r="O686">
        <v>317.83166666666602</v>
      </c>
    </row>
    <row r="687" spans="14:15" x14ac:dyDescent="0.3">
      <c r="N687" t="s">
        <v>777</v>
      </c>
      <c r="O687">
        <v>328.43666666666599</v>
      </c>
    </row>
    <row r="688" spans="14:15" x14ac:dyDescent="0.3">
      <c r="N688" t="s">
        <v>778</v>
      </c>
      <c r="O688">
        <v>362.08</v>
      </c>
    </row>
    <row r="689" spans="14:15" x14ac:dyDescent="0.3">
      <c r="N689" t="s">
        <v>779</v>
      </c>
      <c r="O689">
        <v>365.803333333333</v>
      </c>
    </row>
    <row r="690" spans="14:15" x14ac:dyDescent="0.3">
      <c r="N690" t="s">
        <v>780</v>
      </c>
      <c r="O690">
        <v>342.625</v>
      </c>
    </row>
    <row r="691" spans="14:15" x14ac:dyDescent="0.3">
      <c r="N691" t="s">
        <v>781</v>
      </c>
      <c r="O691">
        <v>364.85500000000002</v>
      </c>
    </row>
    <row r="692" spans="14:15" x14ac:dyDescent="0.3">
      <c r="N692" t="s">
        <v>782</v>
      </c>
      <c r="O692">
        <v>333.03333333333302</v>
      </c>
    </row>
    <row r="693" spans="14:15" x14ac:dyDescent="0.3">
      <c r="N693" t="s">
        <v>783</v>
      </c>
      <c r="O693">
        <v>345.19333333333299</v>
      </c>
    </row>
    <row r="694" spans="14:15" x14ac:dyDescent="0.3">
      <c r="N694" t="s">
        <v>784</v>
      </c>
      <c r="O694">
        <v>349.88166666666598</v>
      </c>
    </row>
    <row r="695" spans="14:15" x14ac:dyDescent="0.3">
      <c r="N695" t="s">
        <v>785</v>
      </c>
      <c r="O695">
        <v>328.19166666666598</v>
      </c>
    </row>
    <row r="696" spans="14:15" x14ac:dyDescent="0.3">
      <c r="N696" t="s">
        <v>786</v>
      </c>
      <c r="O696">
        <v>359.62833333333299</v>
      </c>
    </row>
    <row r="697" spans="14:15" x14ac:dyDescent="0.3">
      <c r="N697" t="s">
        <v>787</v>
      </c>
      <c r="O697">
        <v>337.46166666666602</v>
      </c>
    </row>
    <row r="698" spans="14:15" x14ac:dyDescent="0.3">
      <c r="N698" t="s">
        <v>788</v>
      </c>
      <c r="O698">
        <v>357.57333333333298</v>
      </c>
    </row>
    <row r="699" spans="14:15" x14ac:dyDescent="0.3">
      <c r="N699" t="s">
        <v>789</v>
      </c>
      <c r="O699">
        <v>339.67666666666599</v>
      </c>
    </row>
    <row r="700" spans="14:15" x14ac:dyDescent="0.3">
      <c r="N700" t="s">
        <v>790</v>
      </c>
      <c r="O700">
        <v>309.41166666666601</v>
      </c>
    </row>
    <row r="701" spans="14:15" x14ac:dyDescent="0.3">
      <c r="N701" t="s">
        <v>791</v>
      </c>
      <c r="O701">
        <v>333.50833333333298</v>
      </c>
    </row>
    <row r="702" spans="14:15" x14ac:dyDescent="0.3">
      <c r="N702" t="s">
        <v>792</v>
      </c>
      <c r="O702">
        <v>352.26833333333298</v>
      </c>
    </row>
    <row r="703" spans="14:15" x14ac:dyDescent="0.3">
      <c r="N703" t="s">
        <v>793</v>
      </c>
      <c r="O703">
        <v>339.44833333333298</v>
      </c>
    </row>
    <row r="704" spans="14:15" x14ac:dyDescent="0.3">
      <c r="N704" t="s">
        <v>794</v>
      </c>
      <c r="O704">
        <v>324.33166666666602</v>
      </c>
    </row>
    <row r="705" spans="14:15" x14ac:dyDescent="0.3">
      <c r="N705" t="s">
        <v>795</v>
      </c>
      <c r="O705">
        <v>376.94</v>
      </c>
    </row>
    <row r="706" spans="14:15" x14ac:dyDescent="0.3">
      <c r="N706" t="s">
        <v>796</v>
      </c>
      <c r="O706">
        <v>350.88166666666598</v>
      </c>
    </row>
    <row r="707" spans="14:15" x14ac:dyDescent="0.3">
      <c r="N707" t="s">
        <v>797</v>
      </c>
      <c r="O707">
        <v>344.00666666666598</v>
      </c>
    </row>
    <row r="708" spans="14:15" x14ac:dyDescent="0.3">
      <c r="N708" t="s">
        <v>798</v>
      </c>
      <c r="O708">
        <v>408.81833333333299</v>
      </c>
    </row>
    <row r="709" spans="14:15" x14ac:dyDescent="0.3">
      <c r="N709" t="s">
        <v>799</v>
      </c>
      <c r="O709">
        <v>334.31833333333299</v>
      </c>
    </row>
    <row r="710" spans="14:15" x14ac:dyDescent="0.3">
      <c r="N710" t="s">
        <v>800</v>
      </c>
      <c r="O710">
        <v>352.64166666666603</v>
      </c>
    </row>
    <row r="711" spans="14:15" x14ac:dyDescent="0.3">
      <c r="N711" t="s">
        <v>801</v>
      </c>
      <c r="O711">
        <v>272.71833333333302</v>
      </c>
    </row>
    <row r="712" spans="14:15" x14ac:dyDescent="0.3">
      <c r="N712" t="s">
        <v>802</v>
      </c>
      <c r="O712">
        <v>369.76166666666597</v>
      </c>
    </row>
    <row r="713" spans="14:15" x14ac:dyDescent="0.3">
      <c r="N713" t="s">
        <v>803</v>
      </c>
      <c r="O713">
        <v>337.33666666666602</v>
      </c>
    </row>
    <row r="714" spans="14:15" x14ac:dyDescent="0.3">
      <c r="N714" t="s">
        <v>804</v>
      </c>
      <c r="O714">
        <v>323.01666666666603</v>
      </c>
    </row>
    <row r="715" spans="14:15" x14ac:dyDescent="0.3">
      <c r="N715" t="s">
        <v>805</v>
      </c>
      <c r="O715">
        <v>345.81333333333299</v>
      </c>
    </row>
    <row r="716" spans="14:15" x14ac:dyDescent="0.3">
      <c r="N716" t="s">
        <v>806</v>
      </c>
      <c r="O716">
        <v>361.63333333333298</v>
      </c>
    </row>
    <row r="717" spans="14:15" x14ac:dyDescent="0.3">
      <c r="N717" t="s">
        <v>807</v>
      </c>
      <c r="O717">
        <v>346.05166666666599</v>
      </c>
    </row>
    <row r="718" spans="14:15" x14ac:dyDescent="0.3">
      <c r="N718" t="s">
        <v>808</v>
      </c>
      <c r="O718">
        <v>345.428333333333</v>
      </c>
    </row>
    <row r="719" spans="14:15" x14ac:dyDescent="0.3">
      <c r="N719" t="s">
        <v>809</v>
      </c>
      <c r="O719">
        <v>323.731666666666</v>
      </c>
    </row>
    <row r="720" spans="14:15" x14ac:dyDescent="0.3">
      <c r="N720" t="s">
        <v>810</v>
      </c>
      <c r="O720">
        <v>313.8</v>
      </c>
    </row>
    <row r="721" spans="14:15" x14ac:dyDescent="0.3">
      <c r="N721" t="s">
        <v>811</v>
      </c>
      <c r="O721">
        <v>339.78166666666601</v>
      </c>
    </row>
    <row r="722" spans="14:15" x14ac:dyDescent="0.3">
      <c r="N722" t="s">
        <v>812</v>
      </c>
      <c r="O722">
        <v>307.666666666666</v>
      </c>
    </row>
    <row r="723" spans="14:15" x14ac:dyDescent="0.3">
      <c r="N723" t="s">
        <v>813</v>
      </c>
      <c r="O723">
        <v>325.986666666666</v>
      </c>
    </row>
    <row r="724" spans="14:15" x14ac:dyDescent="0.3">
      <c r="N724" t="s">
        <v>814</v>
      </c>
      <c r="O724">
        <v>369.01333333333298</v>
      </c>
    </row>
    <row r="725" spans="14:15" x14ac:dyDescent="0.3">
      <c r="N725" t="s">
        <v>815</v>
      </c>
      <c r="O725">
        <v>271.37833333333299</v>
      </c>
    </row>
    <row r="726" spans="14:15" x14ac:dyDescent="0.3">
      <c r="N726" t="s">
        <v>816</v>
      </c>
      <c r="O726">
        <v>358.93833333333299</v>
      </c>
    </row>
    <row r="727" spans="14:15" x14ac:dyDescent="0.3">
      <c r="N727" t="s">
        <v>817</v>
      </c>
      <c r="O727">
        <v>354.68833333333299</v>
      </c>
    </row>
    <row r="728" spans="14:15" x14ac:dyDescent="0.3">
      <c r="N728" t="s">
        <v>818</v>
      </c>
      <c r="O728">
        <v>345.13666666666597</v>
      </c>
    </row>
    <row r="729" spans="14:15" x14ac:dyDescent="0.3">
      <c r="N729" t="s">
        <v>819</v>
      </c>
      <c r="O729">
        <v>377.57</v>
      </c>
    </row>
    <row r="730" spans="14:15" x14ac:dyDescent="0.3">
      <c r="N730" t="s">
        <v>820</v>
      </c>
      <c r="O730">
        <v>328.25833333333298</v>
      </c>
    </row>
    <row r="731" spans="14:15" x14ac:dyDescent="0.3">
      <c r="N731" t="s">
        <v>821</v>
      </c>
      <c r="O731">
        <v>341.65</v>
      </c>
    </row>
    <row r="732" spans="14:15" x14ac:dyDescent="0.3">
      <c r="N732" t="s">
        <v>822</v>
      </c>
      <c r="O732">
        <v>346.02</v>
      </c>
    </row>
    <row r="733" spans="14:15" x14ac:dyDescent="0.3">
      <c r="N733" t="s">
        <v>823</v>
      </c>
      <c r="O733">
        <v>296.47333333333302</v>
      </c>
    </row>
    <row r="734" spans="14:15" x14ac:dyDescent="0.3">
      <c r="N734" t="s">
        <v>824</v>
      </c>
      <c r="O734">
        <v>358.671666666666</v>
      </c>
    </row>
    <row r="735" spans="14:15" x14ac:dyDescent="0.3">
      <c r="N735" t="s">
        <v>825</v>
      </c>
      <c r="O735">
        <v>323.66000000000003</v>
      </c>
    </row>
    <row r="736" spans="14:15" x14ac:dyDescent="0.3">
      <c r="N736" t="s">
        <v>826</v>
      </c>
      <c r="O736">
        <v>354.75833333333298</v>
      </c>
    </row>
    <row r="737" spans="14:15" x14ac:dyDescent="0.3">
      <c r="N737" t="s">
        <v>827</v>
      </c>
      <c r="O737">
        <v>324.24166666666599</v>
      </c>
    </row>
    <row r="738" spans="14:15" x14ac:dyDescent="0.3">
      <c r="N738" t="s">
        <v>828</v>
      </c>
      <c r="O738">
        <v>383.44833333333298</v>
      </c>
    </row>
    <row r="739" spans="14:15" x14ac:dyDescent="0.3">
      <c r="N739" t="s">
        <v>829</v>
      </c>
      <c r="O739">
        <v>364.33499999999998</v>
      </c>
    </row>
    <row r="740" spans="14:15" x14ac:dyDescent="0.3">
      <c r="N740" t="s">
        <v>830</v>
      </c>
      <c r="O740">
        <v>344.058333333333</v>
      </c>
    </row>
    <row r="741" spans="14:15" x14ac:dyDescent="0.3">
      <c r="N741" t="s">
        <v>831</v>
      </c>
      <c r="O741">
        <v>273.02333333333303</v>
      </c>
    </row>
    <row r="742" spans="14:15" x14ac:dyDescent="0.3">
      <c r="N742" t="s">
        <v>832</v>
      </c>
      <c r="O742">
        <v>351.78500000000003</v>
      </c>
    </row>
    <row r="743" spans="14:15" x14ac:dyDescent="0.3">
      <c r="N743" t="s">
        <v>833</v>
      </c>
      <c r="O743">
        <v>304.69833333333298</v>
      </c>
    </row>
    <row r="744" spans="14:15" x14ac:dyDescent="0.3">
      <c r="N744" t="s">
        <v>834</v>
      </c>
      <c r="O744">
        <v>329.14</v>
      </c>
    </row>
    <row r="745" spans="14:15" x14ac:dyDescent="0.3">
      <c r="N745" t="s">
        <v>835</v>
      </c>
      <c r="O745">
        <v>359.736666666666</v>
      </c>
    </row>
    <row r="746" spans="14:15" x14ac:dyDescent="0.3">
      <c r="N746" t="s">
        <v>836</v>
      </c>
      <c r="O746">
        <v>358.72333333333302</v>
      </c>
    </row>
    <row r="747" spans="14:15" x14ac:dyDescent="0.3">
      <c r="N747" t="s">
        <v>837</v>
      </c>
      <c r="O747">
        <v>356.40666666666601</v>
      </c>
    </row>
    <row r="748" spans="14:15" x14ac:dyDescent="0.3">
      <c r="N748" t="s">
        <v>838</v>
      </c>
      <c r="O748">
        <v>328.21</v>
      </c>
    </row>
    <row r="749" spans="14:15" x14ac:dyDescent="0.3">
      <c r="N749" t="s">
        <v>839</v>
      </c>
      <c r="O749">
        <v>316.14</v>
      </c>
    </row>
    <row r="750" spans="14:15" x14ac:dyDescent="0.3">
      <c r="N750" t="s">
        <v>840</v>
      </c>
      <c r="O750">
        <v>313</v>
      </c>
    </row>
    <row r="751" spans="14:15" x14ac:dyDescent="0.3">
      <c r="N751" t="s">
        <v>841</v>
      </c>
      <c r="O751">
        <v>339.12333333333299</v>
      </c>
    </row>
    <row r="752" spans="14:15" x14ac:dyDescent="0.3">
      <c r="N752" t="s">
        <v>842</v>
      </c>
      <c r="O752">
        <v>334.56666666666598</v>
      </c>
    </row>
    <row r="753" spans="14:15" x14ac:dyDescent="0.3">
      <c r="N753" t="s">
        <v>843</v>
      </c>
      <c r="O753">
        <v>376.65499999999997</v>
      </c>
    </row>
    <row r="754" spans="14:15" x14ac:dyDescent="0.3">
      <c r="N754" t="s">
        <v>844</v>
      </c>
      <c r="O754">
        <v>322.00166666666598</v>
      </c>
    </row>
    <row r="755" spans="14:15" x14ac:dyDescent="0.3">
      <c r="N755" t="s">
        <v>845</v>
      </c>
      <c r="O755">
        <v>319.41000000000003</v>
      </c>
    </row>
    <row r="756" spans="14:15" x14ac:dyDescent="0.3">
      <c r="N756" t="s">
        <v>846</v>
      </c>
      <c r="O756">
        <v>330.67</v>
      </c>
    </row>
    <row r="757" spans="14:15" x14ac:dyDescent="0.3">
      <c r="N757" t="s">
        <v>847</v>
      </c>
      <c r="O757">
        <v>367.993333333333</v>
      </c>
    </row>
    <row r="758" spans="14:15" x14ac:dyDescent="0.3">
      <c r="N758" t="s">
        <v>848</v>
      </c>
      <c r="O758">
        <v>346.39499999999998</v>
      </c>
    </row>
    <row r="759" spans="14:15" x14ac:dyDescent="0.3">
      <c r="N759" t="s">
        <v>849</v>
      </c>
      <c r="O759">
        <v>375.87833333333299</v>
      </c>
    </row>
    <row r="760" spans="14:15" x14ac:dyDescent="0.3">
      <c r="N760" t="s">
        <v>850</v>
      </c>
      <c r="O760">
        <v>338.666666666666</v>
      </c>
    </row>
    <row r="761" spans="14:15" x14ac:dyDescent="0.3">
      <c r="N761" t="s">
        <v>851</v>
      </c>
      <c r="O761">
        <v>347.185</v>
      </c>
    </row>
    <row r="762" spans="14:15" x14ac:dyDescent="0.3">
      <c r="N762" t="s">
        <v>852</v>
      </c>
      <c r="O762">
        <v>326.678333333333</v>
      </c>
    </row>
    <row r="763" spans="14:15" x14ac:dyDescent="0.3">
      <c r="N763" t="s">
        <v>853</v>
      </c>
      <c r="O763">
        <v>308.78666666666601</v>
      </c>
    </row>
    <row r="764" spans="14:15" x14ac:dyDescent="0.3">
      <c r="N764" t="s">
        <v>854</v>
      </c>
      <c r="O764">
        <v>381.70833333333297</v>
      </c>
    </row>
    <row r="765" spans="14:15" x14ac:dyDescent="0.3">
      <c r="N765" t="s">
        <v>855</v>
      </c>
      <c r="O765">
        <v>358.91500000000002</v>
      </c>
    </row>
    <row r="766" spans="14:15" x14ac:dyDescent="0.3">
      <c r="N766" t="s">
        <v>856</v>
      </c>
      <c r="O766">
        <v>384.47333333333302</v>
      </c>
    </row>
    <row r="767" spans="14:15" x14ac:dyDescent="0.3">
      <c r="N767" t="s">
        <v>857</v>
      </c>
      <c r="O767">
        <v>315.76166666666597</v>
      </c>
    </row>
    <row r="768" spans="14:15" x14ac:dyDescent="0.3">
      <c r="N768" t="s">
        <v>858</v>
      </c>
      <c r="O768">
        <v>324.91166666666601</v>
      </c>
    </row>
    <row r="769" spans="14:15" x14ac:dyDescent="0.3">
      <c r="N769" t="s">
        <v>859</v>
      </c>
      <c r="O769">
        <v>323.54000000000002</v>
      </c>
    </row>
    <row r="770" spans="14:15" x14ac:dyDescent="0.3">
      <c r="N770" t="s">
        <v>860</v>
      </c>
      <c r="O770">
        <v>335.13166666666598</v>
      </c>
    </row>
    <row r="771" spans="14:15" x14ac:dyDescent="0.3">
      <c r="N771" t="s">
        <v>861</v>
      </c>
      <c r="O771">
        <v>315.41833333333301</v>
      </c>
    </row>
    <row r="772" spans="14:15" x14ac:dyDescent="0.3">
      <c r="N772" t="s">
        <v>862</v>
      </c>
      <c r="O772">
        <v>314.868333333333</v>
      </c>
    </row>
    <row r="773" spans="14:15" x14ac:dyDescent="0.3">
      <c r="N773" t="s">
        <v>863</v>
      </c>
      <c r="O773">
        <v>335.01333333333298</v>
      </c>
    </row>
    <row r="774" spans="14:15" x14ac:dyDescent="0.3">
      <c r="N774" t="s">
        <v>864</v>
      </c>
      <c r="O774">
        <v>339.68666666666599</v>
      </c>
    </row>
    <row r="775" spans="14:15" x14ac:dyDescent="0.3">
      <c r="N775" t="s">
        <v>865</v>
      </c>
      <c r="O775">
        <v>339.91833333333301</v>
      </c>
    </row>
    <row r="776" spans="14:15" x14ac:dyDescent="0.3">
      <c r="N776" t="s">
        <v>866</v>
      </c>
      <c r="O776">
        <v>369.82666666666597</v>
      </c>
    </row>
    <row r="777" spans="14:15" x14ac:dyDescent="0.3">
      <c r="N777" t="s">
        <v>867</v>
      </c>
      <c r="O777">
        <v>326.88166666666598</v>
      </c>
    </row>
    <row r="778" spans="14:15" x14ac:dyDescent="0.3">
      <c r="N778" t="s">
        <v>868</v>
      </c>
      <c r="O778">
        <v>346.05</v>
      </c>
    </row>
    <row r="779" spans="14:15" x14ac:dyDescent="0.3">
      <c r="N779" t="s">
        <v>869</v>
      </c>
      <c r="O779">
        <v>318.113333333333</v>
      </c>
    </row>
    <row r="780" spans="14:15" x14ac:dyDescent="0.3">
      <c r="N780" t="s">
        <v>870</v>
      </c>
      <c r="O780">
        <v>356.70166666666597</v>
      </c>
    </row>
    <row r="781" spans="14:15" x14ac:dyDescent="0.3">
      <c r="N781" t="s">
        <v>871</v>
      </c>
      <c r="O781">
        <v>375.69499999999999</v>
      </c>
    </row>
    <row r="782" spans="14:15" x14ac:dyDescent="0.3">
      <c r="N782" t="s">
        <v>872</v>
      </c>
      <c r="O782">
        <v>359.87833333333299</v>
      </c>
    </row>
    <row r="783" spans="14:15" x14ac:dyDescent="0.3">
      <c r="N783" t="s">
        <v>873</v>
      </c>
      <c r="O783">
        <v>338.54833333333301</v>
      </c>
    </row>
    <row r="784" spans="14:15" x14ac:dyDescent="0.3">
      <c r="N784" t="s">
        <v>874</v>
      </c>
      <c r="O784">
        <v>335.02666666666602</v>
      </c>
    </row>
    <row r="785" spans="14:15" x14ac:dyDescent="0.3">
      <c r="N785" t="s">
        <v>875</v>
      </c>
      <c r="O785">
        <v>320.94333333333299</v>
      </c>
    </row>
    <row r="786" spans="14:15" x14ac:dyDescent="0.3">
      <c r="N786" t="s">
        <v>876</v>
      </c>
      <c r="O786">
        <v>294.71166666666602</v>
      </c>
    </row>
    <row r="787" spans="14:15" x14ac:dyDescent="0.3">
      <c r="N787" t="s">
        <v>877</v>
      </c>
      <c r="O787">
        <v>361.88499999999999</v>
      </c>
    </row>
    <row r="788" spans="14:15" x14ac:dyDescent="0.3">
      <c r="N788" t="s">
        <v>878</v>
      </c>
      <c r="O788">
        <v>319.17666666666599</v>
      </c>
    </row>
    <row r="789" spans="14:15" x14ac:dyDescent="0.3">
      <c r="N789" t="s">
        <v>879</v>
      </c>
      <c r="O789">
        <v>320.81666666666598</v>
      </c>
    </row>
    <row r="790" spans="14:15" x14ac:dyDescent="0.3">
      <c r="N790" t="s">
        <v>880</v>
      </c>
      <c r="O790">
        <v>327.67666666666599</v>
      </c>
    </row>
    <row r="791" spans="14:15" x14ac:dyDescent="0.3">
      <c r="N791" t="s">
        <v>881</v>
      </c>
      <c r="O791">
        <v>347.77666666666602</v>
      </c>
    </row>
    <row r="792" spans="14:15" x14ac:dyDescent="0.3">
      <c r="N792" t="s">
        <v>882</v>
      </c>
      <c r="O792">
        <v>324.70666666666602</v>
      </c>
    </row>
    <row r="793" spans="14:15" x14ac:dyDescent="0.3">
      <c r="N793" t="s">
        <v>883</v>
      </c>
      <c r="O793">
        <v>369.80666666666599</v>
      </c>
    </row>
    <row r="794" spans="14:15" x14ac:dyDescent="0.3">
      <c r="N794" t="s">
        <v>884</v>
      </c>
      <c r="O794">
        <v>368.47500000000002</v>
      </c>
    </row>
    <row r="795" spans="14:15" x14ac:dyDescent="0.3">
      <c r="N795" t="s">
        <v>885</v>
      </c>
      <c r="O795">
        <v>378.99833333333299</v>
      </c>
    </row>
    <row r="796" spans="14:15" x14ac:dyDescent="0.3">
      <c r="N796" t="s">
        <v>886</v>
      </c>
      <c r="O796">
        <v>337.57833333333298</v>
      </c>
    </row>
    <row r="797" spans="14:15" x14ac:dyDescent="0.3">
      <c r="N797" t="s">
        <v>887</v>
      </c>
      <c r="O797">
        <v>336.25</v>
      </c>
    </row>
    <row r="798" spans="14:15" x14ac:dyDescent="0.3">
      <c r="N798" t="s">
        <v>888</v>
      </c>
      <c r="O798">
        <v>316.33666666666602</v>
      </c>
    </row>
    <row r="799" spans="14:15" x14ac:dyDescent="0.3">
      <c r="N799" t="s">
        <v>889</v>
      </c>
      <c r="O799">
        <v>368.375</v>
      </c>
    </row>
    <row r="800" spans="14:15" x14ac:dyDescent="0.3">
      <c r="N800" t="s">
        <v>890</v>
      </c>
      <c r="O800">
        <v>304.82</v>
      </c>
    </row>
    <row r="801" spans="14:15" x14ac:dyDescent="0.3">
      <c r="N801" t="s">
        <v>891</v>
      </c>
      <c r="O801">
        <v>322.70666666666602</v>
      </c>
    </row>
    <row r="802" spans="14:15" x14ac:dyDescent="0.3">
      <c r="N802" t="s">
        <v>892</v>
      </c>
      <c r="O802">
        <v>316.04000000000002</v>
      </c>
    </row>
    <row r="803" spans="14:15" x14ac:dyDescent="0.3">
      <c r="N803" t="s">
        <v>893</v>
      </c>
      <c r="O803">
        <v>359.26333333333298</v>
      </c>
    </row>
    <row r="804" spans="14:15" x14ac:dyDescent="0.3">
      <c r="N804" t="s">
        <v>894</v>
      </c>
      <c r="O804">
        <v>345.82333333333298</v>
      </c>
    </row>
    <row r="805" spans="14:15" x14ac:dyDescent="0.3">
      <c r="N805" t="s">
        <v>895</v>
      </c>
      <c r="O805">
        <v>298.42666666666599</v>
      </c>
    </row>
    <row r="806" spans="14:15" x14ac:dyDescent="0.3">
      <c r="N806" t="s">
        <v>896</v>
      </c>
      <c r="O806">
        <v>323.79833333333301</v>
      </c>
    </row>
    <row r="807" spans="14:15" x14ac:dyDescent="0.3">
      <c r="N807" t="s">
        <v>897</v>
      </c>
      <c r="O807">
        <v>343.02166666666602</v>
      </c>
    </row>
    <row r="808" spans="14:15" x14ac:dyDescent="0.3">
      <c r="N808" t="s">
        <v>898</v>
      </c>
      <c r="O808">
        <v>367.68833333333299</v>
      </c>
    </row>
    <row r="809" spans="14:15" x14ac:dyDescent="0.3">
      <c r="N809" t="s">
        <v>899</v>
      </c>
      <c r="O809">
        <v>357.89166666666603</v>
      </c>
    </row>
    <row r="810" spans="14:15" x14ac:dyDescent="0.3">
      <c r="N810" t="s">
        <v>900</v>
      </c>
      <c r="O810">
        <v>348.20833333333297</v>
      </c>
    </row>
    <row r="811" spans="14:15" x14ac:dyDescent="0.3">
      <c r="N811" t="s">
        <v>901</v>
      </c>
      <c r="O811">
        <v>336.611666666666</v>
      </c>
    </row>
    <row r="812" spans="14:15" x14ac:dyDescent="0.3">
      <c r="N812" t="s">
        <v>902</v>
      </c>
      <c r="O812">
        <v>363.96499999999997</v>
      </c>
    </row>
    <row r="813" spans="14:15" x14ac:dyDescent="0.3">
      <c r="N813" t="s">
        <v>903</v>
      </c>
      <c r="O813">
        <v>296.02999999999997</v>
      </c>
    </row>
    <row r="814" spans="14:15" x14ac:dyDescent="0.3">
      <c r="N814" t="s">
        <v>904</v>
      </c>
      <c r="O814">
        <v>352.89</v>
      </c>
    </row>
    <row r="815" spans="14:15" x14ac:dyDescent="0.3">
      <c r="N815" t="s">
        <v>905</v>
      </c>
      <c r="O815">
        <v>315.89833333333303</v>
      </c>
    </row>
    <row r="816" spans="14:15" x14ac:dyDescent="0.3">
      <c r="N816" t="s">
        <v>906</v>
      </c>
      <c r="O816">
        <v>317.62166666666599</v>
      </c>
    </row>
    <row r="817" spans="14:15" x14ac:dyDescent="0.3">
      <c r="N817" t="s">
        <v>907</v>
      </c>
      <c r="O817">
        <v>299.47000000000003</v>
      </c>
    </row>
    <row r="818" spans="14:15" x14ac:dyDescent="0.3">
      <c r="N818" t="s">
        <v>908</v>
      </c>
      <c r="O818">
        <v>344.63333333333298</v>
      </c>
    </row>
    <row r="819" spans="14:15" x14ac:dyDescent="0.3">
      <c r="N819" t="s">
        <v>909</v>
      </c>
      <c r="O819">
        <v>304.40333333333302</v>
      </c>
    </row>
    <row r="820" spans="14:15" x14ac:dyDescent="0.3">
      <c r="N820" t="s">
        <v>910</v>
      </c>
      <c r="O820">
        <v>328.51166666666597</v>
      </c>
    </row>
    <row r="821" spans="14:15" x14ac:dyDescent="0.3">
      <c r="N821" t="s">
        <v>911</v>
      </c>
      <c r="O821">
        <v>306.29000000000002</v>
      </c>
    </row>
    <row r="822" spans="14:15" x14ac:dyDescent="0.3">
      <c r="N822" t="s">
        <v>912</v>
      </c>
      <c r="O822">
        <v>329.84500000000003</v>
      </c>
    </row>
    <row r="823" spans="14:15" x14ac:dyDescent="0.3">
      <c r="N823" t="s">
        <v>913</v>
      </c>
      <c r="O823">
        <v>317.54833333333301</v>
      </c>
    </row>
    <row r="824" spans="14:15" x14ac:dyDescent="0.3">
      <c r="N824" t="s">
        <v>914</v>
      </c>
      <c r="O824">
        <v>341.78666666666601</v>
      </c>
    </row>
    <row r="825" spans="14:15" x14ac:dyDescent="0.3">
      <c r="N825" t="s">
        <v>915</v>
      </c>
      <c r="O825">
        <v>346.85166666666601</v>
      </c>
    </row>
    <row r="826" spans="14:15" x14ac:dyDescent="0.3">
      <c r="N826" t="s">
        <v>916</v>
      </c>
      <c r="O826">
        <v>302.88666666666597</v>
      </c>
    </row>
    <row r="827" spans="14:15" x14ac:dyDescent="0.3">
      <c r="N827" t="s">
        <v>917</v>
      </c>
      <c r="O827">
        <v>372.39666666666602</v>
      </c>
    </row>
    <row r="828" spans="14:15" x14ac:dyDescent="0.3">
      <c r="N828" t="s">
        <v>918</v>
      </c>
      <c r="O828">
        <v>347.46333333333303</v>
      </c>
    </row>
    <row r="829" spans="14:15" x14ac:dyDescent="0.3">
      <c r="N829" t="s">
        <v>919</v>
      </c>
      <c r="O829">
        <v>314.65166666666602</v>
      </c>
    </row>
    <row r="830" spans="14:15" x14ac:dyDescent="0.3">
      <c r="N830" t="s">
        <v>920</v>
      </c>
      <c r="O830">
        <v>337.00166666666598</v>
      </c>
    </row>
    <row r="831" spans="14:15" x14ac:dyDescent="0.3">
      <c r="N831" t="s">
        <v>921</v>
      </c>
      <c r="O831">
        <v>339.02</v>
      </c>
    </row>
    <row r="832" spans="14:15" x14ac:dyDescent="0.3">
      <c r="N832" t="s">
        <v>922</v>
      </c>
      <c r="O832">
        <v>311.15166666666602</v>
      </c>
    </row>
    <row r="833" spans="14:15" x14ac:dyDescent="0.3">
      <c r="N833" t="s">
        <v>923</v>
      </c>
      <c r="O833">
        <v>320.77333333333303</v>
      </c>
    </row>
    <row r="834" spans="14:15" x14ac:dyDescent="0.3">
      <c r="N834" t="s">
        <v>924</v>
      </c>
      <c r="O834">
        <v>339.69166666666598</v>
      </c>
    </row>
    <row r="835" spans="14:15" x14ac:dyDescent="0.3">
      <c r="N835" t="s">
        <v>925</v>
      </c>
      <c r="O835">
        <v>310.44166666666598</v>
      </c>
    </row>
    <row r="836" spans="14:15" x14ac:dyDescent="0.3">
      <c r="N836" t="s">
        <v>926</v>
      </c>
      <c r="O836">
        <v>322.07</v>
      </c>
    </row>
    <row r="837" spans="14:15" x14ac:dyDescent="0.3">
      <c r="N837" t="s">
        <v>927</v>
      </c>
      <c r="O837">
        <v>359.68833333333299</v>
      </c>
    </row>
    <row r="838" spans="14:15" x14ac:dyDescent="0.3">
      <c r="N838" t="s">
        <v>928</v>
      </c>
      <c r="O838">
        <v>330.69666666666598</v>
      </c>
    </row>
    <row r="839" spans="14:15" x14ac:dyDescent="0.3">
      <c r="N839" t="s">
        <v>929</v>
      </c>
      <c r="O839">
        <v>325.40333333333302</v>
      </c>
    </row>
    <row r="840" spans="14:15" x14ac:dyDescent="0.3">
      <c r="N840" t="s">
        <v>930</v>
      </c>
      <c r="O840">
        <v>328.71</v>
      </c>
    </row>
    <row r="841" spans="14:15" x14ac:dyDescent="0.3">
      <c r="N841" t="s">
        <v>931</v>
      </c>
      <c r="O841">
        <v>348.83333333333297</v>
      </c>
    </row>
    <row r="842" spans="14:15" x14ac:dyDescent="0.3">
      <c r="N842" t="s">
        <v>932</v>
      </c>
      <c r="O842">
        <v>329.618333333333</v>
      </c>
    </row>
    <row r="843" spans="14:15" x14ac:dyDescent="0.3">
      <c r="N843" t="s">
        <v>933</v>
      </c>
      <c r="O843">
        <v>324.27666666666602</v>
      </c>
    </row>
    <row r="844" spans="14:15" x14ac:dyDescent="0.3">
      <c r="N844" t="s">
        <v>934</v>
      </c>
      <c r="O844">
        <v>355.90166666666602</v>
      </c>
    </row>
    <row r="845" spans="14:15" x14ac:dyDescent="0.3">
      <c r="N845" t="s">
        <v>935</v>
      </c>
      <c r="O845">
        <v>315.611666666666</v>
      </c>
    </row>
    <row r="846" spans="14:15" x14ac:dyDescent="0.3">
      <c r="N846" t="s">
        <v>936</v>
      </c>
      <c r="O846">
        <v>331.93166666666599</v>
      </c>
    </row>
    <row r="847" spans="14:15" x14ac:dyDescent="0.3">
      <c r="N847" t="s">
        <v>937</v>
      </c>
      <c r="O847">
        <v>351.64333333333298</v>
      </c>
    </row>
    <row r="848" spans="14:15" x14ac:dyDescent="0.3">
      <c r="N848" t="s">
        <v>938</v>
      </c>
      <c r="O848">
        <v>300.26</v>
      </c>
    </row>
    <row r="849" spans="14:15" x14ac:dyDescent="0.3">
      <c r="N849" t="s">
        <v>939</v>
      </c>
      <c r="O849">
        <v>343.00166666666598</v>
      </c>
    </row>
    <row r="850" spans="14:15" x14ac:dyDescent="0.3">
      <c r="N850" t="s">
        <v>940</v>
      </c>
      <c r="O850">
        <v>341.01</v>
      </c>
    </row>
    <row r="851" spans="14:15" x14ac:dyDescent="0.3">
      <c r="N851" t="s">
        <v>941</v>
      </c>
      <c r="O851">
        <v>306.02499999999998</v>
      </c>
    </row>
    <row r="852" spans="14:15" x14ac:dyDescent="0.3">
      <c r="N852" t="s">
        <v>942</v>
      </c>
      <c r="O852">
        <v>306.33499999999998</v>
      </c>
    </row>
    <row r="853" spans="14:15" x14ac:dyDescent="0.3">
      <c r="N853" t="s">
        <v>943</v>
      </c>
      <c r="O853">
        <v>326.01666666666603</v>
      </c>
    </row>
    <row r="854" spans="14:15" x14ac:dyDescent="0.3">
      <c r="N854" t="s">
        <v>944</v>
      </c>
      <c r="O854">
        <v>355.25833333333298</v>
      </c>
    </row>
    <row r="855" spans="14:15" x14ac:dyDescent="0.3">
      <c r="N855" t="s">
        <v>945</v>
      </c>
      <c r="O855">
        <v>351.34500000000003</v>
      </c>
    </row>
    <row r="856" spans="14:15" x14ac:dyDescent="0.3">
      <c r="N856" t="s">
        <v>946</v>
      </c>
      <c r="O856">
        <v>310.81166666666599</v>
      </c>
    </row>
    <row r="857" spans="14:15" x14ac:dyDescent="0.3">
      <c r="N857" t="s">
        <v>947</v>
      </c>
      <c r="O857">
        <v>332.46666666666601</v>
      </c>
    </row>
    <row r="858" spans="14:15" x14ac:dyDescent="0.3">
      <c r="N858" t="s">
        <v>948</v>
      </c>
      <c r="O858">
        <v>338.21666666666601</v>
      </c>
    </row>
    <row r="859" spans="14:15" x14ac:dyDescent="0.3">
      <c r="N859" t="s">
        <v>949</v>
      </c>
      <c r="O859">
        <v>312.171666666666</v>
      </c>
    </row>
    <row r="860" spans="14:15" x14ac:dyDescent="0.3">
      <c r="N860" t="s">
        <v>950</v>
      </c>
      <c r="O860">
        <v>331.67</v>
      </c>
    </row>
    <row r="861" spans="14:15" x14ac:dyDescent="0.3">
      <c r="N861" t="s">
        <v>951</v>
      </c>
      <c r="O861">
        <v>305.80166666666599</v>
      </c>
    </row>
    <row r="862" spans="14:15" x14ac:dyDescent="0.3">
      <c r="N862" t="s">
        <v>952</v>
      </c>
      <c r="O862">
        <v>318.02333333333303</v>
      </c>
    </row>
    <row r="863" spans="14:15" x14ac:dyDescent="0.3">
      <c r="N863" t="s">
        <v>953</v>
      </c>
      <c r="O863">
        <v>342.59</v>
      </c>
    </row>
    <row r="864" spans="14:15" x14ac:dyDescent="0.3">
      <c r="N864" t="s">
        <v>954</v>
      </c>
      <c r="O864">
        <v>333.39499999999998</v>
      </c>
    </row>
    <row r="865" spans="14:15" x14ac:dyDescent="0.3">
      <c r="N865" t="s">
        <v>955</v>
      </c>
      <c r="O865">
        <v>338.14</v>
      </c>
    </row>
    <row r="866" spans="14:15" x14ac:dyDescent="0.3">
      <c r="N866" t="s">
        <v>956</v>
      </c>
      <c r="O866">
        <v>338.41833333333301</v>
      </c>
    </row>
    <row r="867" spans="14:15" x14ac:dyDescent="0.3">
      <c r="N867" t="s">
        <v>957</v>
      </c>
      <c r="O867">
        <v>380.63333333333298</v>
      </c>
    </row>
    <row r="868" spans="14:15" x14ac:dyDescent="0.3">
      <c r="N868" t="s">
        <v>958</v>
      </c>
      <c r="O868">
        <v>325.46333333333303</v>
      </c>
    </row>
    <row r="869" spans="14:15" x14ac:dyDescent="0.3">
      <c r="N869" t="s">
        <v>959</v>
      </c>
      <c r="O869">
        <v>337.05</v>
      </c>
    </row>
    <row r="870" spans="14:15" x14ac:dyDescent="0.3">
      <c r="N870" t="s">
        <v>960</v>
      </c>
      <c r="O870">
        <v>327.46333333333303</v>
      </c>
    </row>
    <row r="871" spans="14:15" x14ac:dyDescent="0.3">
      <c r="N871" t="s">
        <v>961</v>
      </c>
      <c r="O871">
        <v>342.55166666666599</v>
      </c>
    </row>
    <row r="872" spans="14:15" x14ac:dyDescent="0.3">
      <c r="N872" t="s">
        <v>962</v>
      </c>
      <c r="O872">
        <v>362.19333333333299</v>
      </c>
    </row>
    <row r="873" spans="14:15" x14ac:dyDescent="0.3">
      <c r="N873" t="s">
        <v>963</v>
      </c>
      <c r="O873">
        <v>347.32666666666597</v>
      </c>
    </row>
    <row r="874" spans="14:15" x14ac:dyDescent="0.3">
      <c r="N874" t="s">
        <v>964</v>
      </c>
      <c r="O874">
        <v>357.68666666666599</v>
      </c>
    </row>
    <row r="875" spans="14:15" x14ac:dyDescent="0.3">
      <c r="N875" t="s">
        <v>965</v>
      </c>
      <c r="O875">
        <v>337.35833333333301</v>
      </c>
    </row>
    <row r="876" spans="14:15" x14ac:dyDescent="0.3">
      <c r="N876" t="s">
        <v>966</v>
      </c>
      <c r="O876">
        <v>313.62</v>
      </c>
    </row>
    <row r="877" spans="14:15" x14ac:dyDescent="0.3">
      <c r="N877" t="s">
        <v>967</v>
      </c>
      <c r="O877">
        <v>340.28500000000003</v>
      </c>
    </row>
    <row r="878" spans="14:15" x14ac:dyDescent="0.3">
      <c r="N878" t="s">
        <v>968</v>
      </c>
      <c r="O878">
        <v>379.48333333333301</v>
      </c>
    </row>
    <row r="879" spans="14:15" x14ac:dyDescent="0.3">
      <c r="N879" t="s">
        <v>969</v>
      </c>
      <c r="O879">
        <v>342.745</v>
      </c>
    </row>
    <row r="880" spans="14:15" x14ac:dyDescent="0.3">
      <c r="N880" t="s">
        <v>970</v>
      </c>
      <c r="O880">
        <v>335.53666666666601</v>
      </c>
    </row>
    <row r="881" spans="14:15" x14ac:dyDescent="0.3">
      <c r="N881" t="s">
        <v>971</v>
      </c>
      <c r="O881">
        <v>316.94666666666598</v>
      </c>
    </row>
    <row r="882" spans="14:15" x14ac:dyDescent="0.3">
      <c r="N882" t="s">
        <v>972</v>
      </c>
      <c r="O882">
        <v>321.42666666666599</v>
      </c>
    </row>
    <row r="883" spans="14:15" x14ac:dyDescent="0.3">
      <c r="N883" t="s">
        <v>973</v>
      </c>
      <c r="O883">
        <v>332.791666666666</v>
      </c>
    </row>
    <row r="884" spans="14:15" x14ac:dyDescent="0.3">
      <c r="N884" t="s">
        <v>974</v>
      </c>
      <c r="O884">
        <v>321.05166666666599</v>
      </c>
    </row>
    <row r="885" spans="14:15" x14ac:dyDescent="0.3">
      <c r="N885" t="s">
        <v>975</v>
      </c>
      <c r="O885">
        <v>333.56333333333299</v>
      </c>
    </row>
    <row r="886" spans="14:15" x14ac:dyDescent="0.3">
      <c r="N886" t="s">
        <v>976</v>
      </c>
      <c r="O886">
        <v>373.06</v>
      </c>
    </row>
    <row r="887" spans="14:15" x14ac:dyDescent="0.3">
      <c r="N887" t="s">
        <v>977</v>
      </c>
      <c r="O887">
        <v>367.47333333333302</v>
      </c>
    </row>
    <row r="888" spans="14:15" x14ac:dyDescent="0.3">
      <c r="N888" t="s">
        <v>978</v>
      </c>
      <c r="O888">
        <v>337.90166666666602</v>
      </c>
    </row>
    <row r="889" spans="14:15" x14ac:dyDescent="0.3">
      <c r="N889" t="s">
        <v>979</v>
      </c>
      <c r="O889">
        <v>377.52</v>
      </c>
    </row>
    <row r="890" spans="14:15" x14ac:dyDescent="0.3">
      <c r="N890" t="s">
        <v>980</v>
      </c>
      <c r="O890">
        <v>348.42500000000001</v>
      </c>
    </row>
    <row r="891" spans="14:15" x14ac:dyDescent="0.3">
      <c r="N891" t="s">
        <v>981</v>
      </c>
      <c r="O891">
        <v>345.32666666666597</v>
      </c>
    </row>
    <row r="892" spans="14:15" x14ac:dyDescent="0.3">
      <c r="N892" t="s">
        <v>982</v>
      </c>
      <c r="O892">
        <v>354.28</v>
      </c>
    </row>
    <row r="893" spans="14:15" x14ac:dyDescent="0.3">
      <c r="N893" t="s">
        <v>983</v>
      </c>
      <c r="O893">
        <v>338.03</v>
      </c>
    </row>
    <row r="894" spans="14:15" x14ac:dyDescent="0.3">
      <c r="N894" t="s">
        <v>984</v>
      </c>
      <c r="O894">
        <v>346.05500000000001</v>
      </c>
    </row>
    <row r="895" spans="14:15" x14ac:dyDescent="0.3">
      <c r="N895" t="s">
        <v>985</v>
      </c>
      <c r="O895">
        <v>352.30500000000001</v>
      </c>
    </row>
    <row r="896" spans="14:15" x14ac:dyDescent="0.3">
      <c r="N896" t="s">
        <v>986</v>
      </c>
      <c r="O896">
        <v>336.988333333333</v>
      </c>
    </row>
    <row r="897" spans="14:15" x14ac:dyDescent="0.3">
      <c r="N897" t="s">
        <v>987</v>
      </c>
      <c r="O897">
        <v>351.85166666666601</v>
      </c>
    </row>
    <row r="898" spans="14:15" x14ac:dyDescent="0.3">
      <c r="N898" t="s">
        <v>988</v>
      </c>
      <c r="O898">
        <v>368.90499999999997</v>
      </c>
    </row>
    <row r="899" spans="14:15" x14ac:dyDescent="0.3">
      <c r="N899" t="s">
        <v>989</v>
      </c>
      <c r="O899">
        <v>304.27</v>
      </c>
    </row>
    <row r="900" spans="14:15" x14ac:dyDescent="0.3">
      <c r="N900" t="s">
        <v>990</v>
      </c>
      <c r="O900">
        <v>289.80500000000001</v>
      </c>
    </row>
    <row r="901" spans="14:15" x14ac:dyDescent="0.3">
      <c r="N901" t="s">
        <v>991</v>
      </c>
      <c r="O901">
        <v>340.71666666666601</v>
      </c>
    </row>
    <row r="902" spans="14:15" x14ac:dyDescent="0.3">
      <c r="N902" t="s">
        <v>992</v>
      </c>
      <c r="O902">
        <v>314.95</v>
      </c>
    </row>
    <row r="903" spans="14:15" x14ac:dyDescent="0.3">
      <c r="N903" t="s">
        <v>993</v>
      </c>
      <c r="O903">
        <v>331.058333333333</v>
      </c>
    </row>
    <row r="904" spans="14:15" x14ac:dyDescent="0.3">
      <c r="N904" t="s">
        <v>994</v>
      </c>
      <c r="O904">
        <v>296.55</v>
      </c>
    </row>
    <row r="905" spans="14:15" x14ac:dyDescent="0.3">
      <c r="N905" t="s">
        <v>995</v>
      </c>
      <c r="O905">
        <v>357.41333333333301</v>
      </c>
    </row>
    <row r="906" spans="14:15" x14ac:dyDescent="0.3">
      <c r="N906" t="s">
        <v>996</v>
      </c>
      <c r="O906">
        <v>310.07333333333298</v>
      </c>
    </row>
    <row r="907" spans="14:15" x14ac:dyDescent="0.3">
      <c r="N907" t="s">
        <v>997</v>
      </c>
      <c r="O907">
        <v>317.30666666666599</v>
      </c>
    </row>
    <row r="908" spans="14:15" x14ac:dyDescent="0.3">
      <c r="N908" t="s">
        <v>998</v>
      </c>
      <c r="O908">
        <v>346.22666666666601</v>
      </c>
    </row>
    <row r="909" spans="14:15" x14ac:dyDescent="0.3">
      <c r="N909" t="s">
        <v>999</v>
      </c>
      <c r="O909">
        <v>329.16500000000002</v>
      </c>
    </row>
    <row r="910" spans="14:15" x14ac:dyDescent="0.3">
      <c r="N910" t="s">
        <v>1000</v>
      </c>
      <c r="O910">
        <v>351.12333333333299</v>
      </c>
    </row>
    <row r="911" spans="14:15" x14ac:dyDescent="0.3">
      <c r="N911" t="s">
        <v>1001</v>
      </c>
      <c r="O911">
        <v>283.84666666666601</v>
      </c>
    </row>
    <row r="912" spans="14:15" x14ac:dyDescent="0.3">
      <c r="N912" t="s">
        <v>1002</v>
      </c>
      <c r="O912">
        <v>349.83666666666602</v>
      </c>
    </row>
    <row r="913" spans="14:15" x14ac:dyDescent="0.3">
      <c r="N913" t="s">
        <v>1003</v>
      </c>
      <c r="O913">
        <v>302.22666666666601</v>
      </c>
    </row>
    <row r="914" spans="14:15" x14ac:dyDescent="0.3">
      <c r="N914" t="s">
        <v>1004</v>
      </c>
      <c r="O914">
        <v>343.59500000000003</v>
      </c>
    </row>
    <row r="915" spans="14:15" x14ac:dyDescent="0.3">
      <c r="N915" t="s">
        <v>1005</v>
      </c>
      <c r="O915">
        <v>313.32666666666597</v>
      </c>
    </row>
    <row r="916" spans="14:15" x14ac:dyDescent="0.3">
      <c r="N916" t="s">
        <v>1006</v>
      </c>
      <c r="O916">
        <v>286.65333333333302</v>
      </c>
    </row>
    <row r="917" spans="14:15" x14ac:dyDescent="0.3">
      <c r="N917" t="s">
        <v>1007</v>
      </c>
      <c r="O917">
        <v>357.88166666666598</v>
      </c>
    </row>
    <row r="918" spans="14:15" x14ac:dyDescent="0.3">
      <c r="N918" t="s">
        <v>1008</v>
      </c>
      <c r="O918">
        <v>311.14833333333303</v>
      </c>
    </row>
    <row r="919" spans="14:15" x14ac:dyDescent="0.3">
      <c r="N919" t="s">
        <v>1009</v>
      </c>
      <c r="O919">
        <v>340.31833333333299</v>
      </c>
    </row>
    <row r="920" spans="14:15" x14ac:dyDescent="0.3">
      <c r="N920" t="s">
        <v>1010</v>
      </c>
      <c r="O920">
        <v>314.84333333333302</v>
      </c>
    </row>
    <row r="921" spans="14:15" x14ac:dyDescent="0.3">
      <c r="N921" t="s">
        <v>1011</v>
      </c>
      <c r="O921">
        <v>322.87833333333299</v>
      </c>
    </row>
    <row r="922" spans="14:15" x14ac:dyDescent="0.3">
      <c r="N922" t="s">
        <v>1012</v>
      </c>
      <c r="O922">
        <v>356.421666666666</v>
      </c>
    </row>
    <row r="923" spans="14:15" x14ac:dyDescent="0.3">
      <c r="N923" t="s">
        <v>1013</v>
      </c>
      <c r="O923">
        <v>399.41333333333301</v>
      </c>
    </row>
    <row r="924" spans="14:15" x14ac:dyDescent="0.3">
      <c r="N924" t="s">
        <v>1014</v>
      </c>
      <c r="O924">
        <v>348.87</v>
      </c>
    </row>
    <row r="925" spans="14:15" x14ac:dyDescent="0.3">
      <c r="N925" t="s">
        <v>1015</v>
      </c>
      <c r="O925">
        <v>343.90499999999997</v>
      </c>
    </row>
    <row r="926" spans="14:15" x14ac:dyDescent="0.3">
      <c r="N926" t="s">
        <v>1016</v>
      </c>
      <c r="O926">
        <v>373.29</v>
      </c>
    </row>
    <row r="927" spans="14:15" x14ac:dyDescent="0.3">
      <c r="N927" t="s">
        <v>1017</v>
      </c>
      <c r="O927">
        <v>343.45833333333297</v>
      </c>
    </row>
    <row r="928" spans="14:15" x14ac:dyDescent="0.3">
      <c r="N928" t="s">
        <v>1018</v>
      </c>
      <c r="O928">
        <v>355.73500000000001</v>
      </c>
    </row>
    <row r="929" spans="14:15" x14ac:dyDescent="0.3">
      <c r="N929" t="s">
        <v>1019</v>
      </c>
      <c r="O929">
        <v>357.86666666666599</v>
      </c>
    </row>
    <row r="930" spans="14:15" x14ac:dyDescent="0.3">
      <c r="N930" t="s">
        <v>1020</v>
      </c>
      <c r="O930">
        <v>366.27499999999998</v>
      </c>
    </row>
    <row r="931" spans="14:15" x14ac:dyDescent="0.3">
      <c r="N931" t="s">
        <v>1021</v>
      </c>
      <c r="O931">
        <v>365.433333333333</v>
      </c>
    </row>
    <row r="932" spans="14:15" x14ac:dyDescent="0.3">
      <c r="N932" t="s">
        <v>1022</v>
      </c>
      <c r="O932">
        <v>341.421666666666</v>
      </c>
    </row>
    <row r="933" spans="14:15" x14ac:dyDescent="0.3">
      <c r="N933" t="s">
        <v>1023</v>
      </c>
      <c r="O933">
        <v>371.88166666666598</v>
      </c>
    </row>
    <row r="934" spans="14:15" x14ac:dyDescent="0.3">
      <c r="N934" t="s">
        <v>1024</v>
      </c>
      <c r="O934">
        <v>348.76</v>
      </c>
    </row>
    <row r="935" spans="14:15" x14ac:dyDescent="0.3">
      <c r="N935" t="s">
        <v>1025</v>
      </c>
      <c r="O935">
        <v>301.22500000000002</v>
      </c>
    </row>
    <row r="936" spans="14:15" x14ac:dyDescent="0.3">
      <c r="N936" t="s">
        <v>1026</v>
      </c>
      <c r="O936">
        <v>369.546666666666</v>
      </c>
    </row>
    <row r="937" spans="14:15" x14ac:dyDescent="0.3">
      <c r="N937" t="s">
        <v>1027</v>
      </c>
      <c r="O937">
        <v>330.315</v>
      </c>
    </row>
    <row r="938" spans="14:15" x14ac:dyDescent="0.3">
      <c r="N938" t="s">
        <v>1028</v>
      </c>
      <c r="O938">
        <v>346.11666666666599</v>
      </c>
    </row>
    <row r="939" spans="14:15" x14ac:dyDescent="0.3">
      <c r="N939" t="s">
        <v>1029</v>
      </c>
      <c r="O939">
        <v>330.52166666666602</v>
      </c>
    </row>
    <row r="940" spans="14:15" x14ac:dyDescent="0.3">
      <c r="N940" t="s">
        <v>1030</v>
      </c>
      <c r="O940">
        <v>331.46333333333303</v>
      </c>
    </row>
    <row r="941" spans="14:15" x14ac:dyDescent="0.3">
      <c r="N941" t="s">
        <v>1031</v>
      </c>
      <c r="O941">
        <v>342.01666666666603</v>
      </c>
    </row>
    <row r="942" spans="14:15" x14ac:dyDescent="0.3">
      <c r="N942" t="s">
        <v>1032</v>
      </c>
      <c r="O942">
        <v>338.51499999999999</v>
      </c>
    </row>
    <row r="943" spans="14:15" x14ac:dyDescent="0.3">
      <c r="N943" t="s">
        <v>1033</v>
      </c>
      <c r="O943">
        <v>354.09333333333302</v>
      </c>
    </row>
    <row r="944" spans="14:15" x14ac:dyDescent="0.3">
      <c r="N944" t="s">
        <v>1034</v>
      </c>
      <c r="O944">
        <v>307.43833333333299</v>
      </c>
    </row>
    <row r="945" spans="14:15" x14ac:dyDescent="0.3">
      <c r="N945" t="s">
        <v>1035</v>
      </c>
      <c r="O945">
        <v>348.315</v>
      </c>
    </row>
    <row r="946" spans="14:15" x14ac:dyDescent="0.3">
      <c r="N946" t="s">
        <v>1036</v>
      </c>
      <c r="O946">
        <v>351.44833333333298</v>
      </c>
    </row>
    <row r="947" spans="14:15" x14ac:dyDescent="0.3">
      <c r="N947" t="s">
        <v>1037</v>
      </c>
      <c r="O947">
        <v>347.363333333333</v>
      </c>
    </row>
    <row r="948" spans="14:15" x14ac:dyDescent="0.3">
      <c r="N948" t="s">
        <v>1038</v>
      </c>
      <c r="O948">
        <v>350.76833333333298</v>
      </c>
    </row>
    <row r="949" spans="14:15" x14ac:dyDescent="0.3">
      <c r="N949" t="s">
        <v>1039</v>
      </c>
      <c r="O949">
        <v>298.43</v>
      </c>
    </row>
    <row r="950" spans="14:15" x14ac:dyDescent="0.3">
      <c r="N950" t="s">
        <v>1040</v>
      </c>
      <c r="O950">
        <v>313.71833333333302</v>
      </c>
    </row>
    <row r="951" spans="14:15" x14ac:dyDescent="0.3">
      <c r="N951" t="s">
        <v>1041</v>
      </c>
      <c r="O951">
        <v>332.10500000000002</v>
      </c>
    </row>
    <row r="952" spans="14:15" x14ac:dyDescent="0.3">
      <c r="N952" t="s">
        <v>1042</v>
      </c>
      <c r="O952">
        <v>356.35</v>
      </c>
    </row>
    <row r="953" spans="14:15" x14ac:dyDescent="0.3">
      <c r="N953" t="s">
        <v>1043</v>
      </c>
      <c r="O953">
        <v>357.62</v>
      </c>
    </row>
    <row r="954" spans="14:15" x14ac:dyDescent="0.3">
      <c r="N954" t="s">
        <v>1044</v>
      </c>
      <c r="O954">
        <v>319.933333333333</v>
      </c>
    </row>
    <row r="955" spans="14:15" x14ac:dyDescent="0.3">
      <c r="N955" t="s">
        <v>1045</v>
      </c>
      <c r="O955">
        <v>339.36666666666599</v>
      </c>
    </row>
    <row r="956" spans="14:15" x14ac:dyDescent="0.3">
      <c r="N956" t="s">
        <v>1046</v>
      </c>
      <c r="O956">
        <v>337.731666666666</v>
      </c>
    </row>
    <row r="957" spans="14:15" x14ac:dyDescent="0.3">
      <c r="N957" t="s">
        <v>1047</v>
      </c>
      <c r="O957">
        <v>367.71499999999997</v>
      </c>
    </row>
    <row r="958" spans="14:15" x14ac:dyDescent="0.3">
      <c r="N958" t="s">
        <v>1048</v>
      </c>
      <c r="O958">
        <v>369.52333333333303</v>
      </c>
    </row>
    <row r="959" spans="14:15" x14ac:dyDescent="0.3">
      <c r="N959" t="s">
        <v>1049</v>
      </c>
      <c r="O959">
        <v>338.75</v>
      </c>
    </row>
    <row r="960" spans="14:15" x14ac:dyDescent="0.3">
      <c r="N960" t="s">
        <v>1050</v>
      </c>
      <c r="O960">
        <v>370.40666666666601</v>
      </c>
    </row>
    <row r="961" spans="14:15" x14ac:dyDescent="0.3">
      <c r="N961" t="s">
        <v>1051</v>
      </c>
      <c r="O961">
        <v>333.44166666666598</v>
      </c>
    </row>
    <row r="962" spans="14:15" x14ac:dyDescent="0.3">
      <c r="N962" t="s">
        <v>1052</v>
      </c>
      <c r="O962">
        <v>373.81333333333299</v>
      </c>
    </row>
    <row r="963" spans="14:15" x14ac:dyDescent="0.3">
      <c r="N963" t="s">
        <v>1053</v>
      </c>
      <c r="O963">
        <v>340.27833333333302</v>
      </c>
    </row>
    <row r="964" spans="14:15" x14ac:dyDescent="0.3">
      <c r="N964" t="s">
        <v>1054</v>
      </c>
      <c r="O964">
        <v>378.796666666666</v>
      </c>
    </row>
    <row r="965" spans="14:15" x14ac:dyDescent="0.3">
      <c r="N965" t="s">
        <v>1055</v>
      </c>
      <c r="O965">
        <v>362.50833333333298</v>
      </c>
    </row>
    <row r="966" spans="14:15" x14ac:dyDescent="0.3">
      <c r="N966" t="s">
        <v>1056</v>
      </c>
      <c r="O966">
        <v>309.57499999999999</v>
      </c>
    </row>
    <row r="967" spans="14:15" x14ac:dyDescent="0.3">
      <c r="N967" t="s">
        <v>1057</v>
      </c>
      <c r="O967">
        <v>332.37166666666599</v>
      </c>
    </row>
    <row r="968" spans="14:15" x14ac:dyDescent="0.3">
      <c r="N968" t="s">
        <v>1058</v>
      </c>
      <c r="O968">
        <v>330.91166666666601</v>
      </c>
    </row>
    <row r="969" spans="14:15" x14ac:dyDescent="0.3">
      <c r="N969" t="s">
        <v>1059</v>
      </c>
      <c r="O969">
        <v>306.39333333333298</v>
      </c>
    </row>
    <row r="970" spans="14:15" x14ac:dyDescent="0.3">
      <c r="N970" t="s">
        <v>1060</v>
      </c>
      <c r="O970">
        <v>323.178333333333</v>
      </c>
    </row>
    <row r="971" spans="14:15" x14ac:dyDescent="0.3">
      <c r="N971" t="s">
        <v>1061</v>
      </c>
      <c r="O971">
        <v>320.78333333333302</v>
      </c>
    </row>
    <row r="972" spans="14:15" x14ac:dyDescent="0.3">
      <c r="N972" t="s">
        <v>1062</v>
      </c>
      <c r="O972">
        <v>350.08166666666602</v>
      </c>
    </row>
    <row r="973" spans="14:15" x14ac:dyDescent="0.3">
      <c r="N973" t="s">
        <v>1063</v>
      </c>
      <c r="O973">
        <v>337.71666666666601</v>
      </c>
    </row>
    <row r="974" spans="14:15" x14ac:dyDescent="0.3">
      <c r="N974" t="s">
        <v>1064</v>
      </c>
      <c r="O974">
        <v>320.231666666666</v>
      </c>
    </row>
    <row r="975" spans="14:15" x14ac:dyDescent="0.3">
      <c r="N975" t="s">
        <v>1065</v>
      </c>
      <c r="O975">
        <v>319.18166666666599</v>
      </c>
    </row>
    <row r="976" spans="14:15" x14ac:dyDescent="0.3">
      <c r="N976" t="s">
        <v>1066</v>
      </c>
      <c r="O976">
        <v>329.57333333333298</v>
      </c>
    </row>
    <row r="977" spans="14:15" x14ac:dyDescent="0.3">
      <c r="N977" t="s">
        <v>1067</v>
      </c>
      <c r="O977">
        <v>343.11666666666599</v>
      </c>
    </row>
    <row r="978" spans="14:15" x14ac:dyDescent="0.3">
      <c r="N978" t="s">
        <v>1068</v>
      </c>
      <c r="O978">
        <v>334.95333333333298</v>
      </c>
    </row>
    <row r="979" spans="14:15" x14ac:dyDescent="0.3">
      <c r="N979" t="s">
        <v>1069</v>
      </c>
      <c r="O979">
        <v>337.22166666666601</v>
      </c>
    </row>
    <row r="980" spans="14:15" x14ac:dyDescent="0.3">
      <c r="N980" t="s">
        <v>1070</v>
      </c>
      <c r="O980">
        <v>367.45499999999998</v>
      </c>
    </row>
    <row r="981" spans="14:15" x14ac:dyDescent="0.3">
      <c r="N981" t="s">
        <v>1071</v>
      </c>
      <c r="O981">
        <v>317.64833333333303</v>
      </c>
    </row>
    <row r="982" spans="14:15" x14ac:dyDescent="0.3">
      <c r="N982" t="s">
        <v>1072</v>
      </c>
      <c r="O982">
        <v>372.22666666666601</v>
      </c>
    </row>
    <row r="983" spans="14:15" x14ac:dyDescent="0.3">
      <c r="N983" t="s">
        <v>1073</v>
      </c>
      <c r="O983">
        <v>322.13166666666598</v>
      </c>
    </row>
    <row r="984" spans="14:15" x14ac:dyDescent="0.3">
      <c r="N984" t="s">
        <v>1074</v>
      </c>
      <c r="O984">
        <v>333.13666666666597</v>
      </c>
    </row>
    <row r="985" spans="14:15" x14ac:dyDescent="0.3">
      <c r="N985" t="s">
        <v>1075</v>
      </c>
      <c r="O985">
        <v>348.07166666666598</v>
      </c>
    </row>
    <row r="986" spans="14:15" x14ac:dyDescent="0.3">
      <c r="N986" t="s">
        <v>1076</v>
      </c>
      <c r="O986">
        <v>345.21499999999997</v>
      </c>
    </row>
    <row r="987" spans="14:15" x14ac:dyDescent="0.3">
      <c r="N987" t="s">
        <v>1077</v>
      </c>
      <c r="O987">
        <v>344.35833333333301</v>
      </c>
    </row>
    <row r="988" spans="14:15" x14ac:dyDescent="0.3">
      <c r="N988" t="s">
        <v>1078</v>
      </c>
      <c r="O988">
        <v>331.60500000000002</v>
      </c>
    </row>
    <row r="989" spans="14:15" x14ac:dyDescent="0.3">
      <c r="N989" t="s">
        <v>1079</v>
      </c>
      <c r="O989">
        <v>369.93166666666599</v>
      </c>
    </row>
    <row r="990" spans="14:15" x14ac:dyDescent="0.3">
      <c r="N990" t="s">
        <v>1080</v>
      </c>
      <c r="O990">
        <v>332.39499999999998</v>
      </c>
    </row>
    <row r="991" spans="14:15" x14ac:dyDescent="0.3">
      <c r="N991" t="s">
        <v>1081</v>
      </c>
      <c r="O991">
        <v>322.315</v>
      </c>
    </row>
    <row r="992" spans="14:15" x14ac:dyDescent="0.3">
      <c r="N992" t="s">
        <v>1082</v>
      </c>
      <c r="O992">
        <v>300.736666666666</v>
      </c>
    </row>
    <row r="993" spans="14:15" x14ac:dyDescent="0.3">
      <c r="N993" t="s">
        <v>1083</v>
      </c>
      <c r="O993">
        <v>328.13</v>
      </c>
    </row>
    <row r="994" spans="14:15" x14ac:dyDescent="0.3">
      <c r="N994" t="s">
        <v>1084</v>
      </c>
      <c r="O994">
        <v>385.13833333333298</v>
      </c>
    </row>
    <row r="995" spans="14:15" x14ac:dyDescent="0.3">
      <c r="N995" t="s">
        <v>1085</v>
      </c>
      <c r="O995">
        <v>343.875</v>
      </c>
    </row>
    <row r="996" spans="14:15" x14ac:dyDescent="0.3">
      <c r="N996" t="s">
        <v>1086</v>
      </c>
      <c r="O996">
        <v>353.856666666666</v>
      </c>
    </row>
    <row r="997" spans="14:15" x14ac:dyDescent="0.3">
      <c r="N997" t="s">
        <v>1087</v>
      </c>
      <c r="O997">
        <v>345.52499999999998</v>
      </c>
    </row>
    <row r="998" spans="14:15" x14ac:dyDescent="0.3">
      <c r="N998" t="s">
        <v>1088</v>
      </c>
      <c r="O998">
        <v>334.89166666666603</v>
      </c>
    </row>
    <row r="999" spans="14:15" x14ac:dyDescent="0.3">
      <c r="N999" t="s">
        <v>1089</v>
      </c>
      <c r="O999">
        <v>367.49</v>
      </c>
    </row>
    <row r="1000" spans="14:15" x14ac:dyDescent="0.3">
      <c r="N1000" t="s">
        <v>1090</v>
      </c>
      <c r="O1000">
        <v>316.45999999999998</v>
      </c>
    </row>
    <row r="1001" spans="14:15" x14ac:dyDescent="0.3">
      <c r="N1001" t="s">
        <v>1091</v>
      </c>
      <c r="O1001">
        <v>345.106666666666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049B-3F66-4198-AB8B-6CBC53C29F93}">
  <dimension ref="A2:H4"/>
  <sheetViews>
    <sheetView workbookViewId="0">
      <selection activeCell="E9" sqref="E9"/>
    </sheetView>
  </sheetViews>
  <sheetFormatPr defaultRowHeight="14.4" x14ac:dyDescent="0.3"/>
  <sheetData>
    <row r="2" spans="1:8" x14ac:dyDescent="0.3">
      <c r="A2" s="7" t="s">
        <v>1108</v>
      </c>
      <c r="B2" s="7" t="s">
        <v>1109</v>
      </c>
      <c r="E2" s="8" t="s">
        <v>1112</v>
      </c>
      <c r="F2" s="8" t="s">
        <v>1109</v>
      </c>
      <c r="H2" s="8" t="s">
        <v>1113</v>
      </c>
    </row>
    <row r="3" spans="1:8" x14ac:dyDescent="0.3">
      <c r="A3" t="s">
        <v>1106</v>
      </c>
      <c r="B3">
        <v>58590</v>
      </c>
      <c r="E3" t="s">
        <v>1106</v>
      </c>
      <c r="F3">
        <v>59925</v>
      </c>
      <c r="H3" s="4">
        <f>F4/B4</f>
        <v>0.94857990532702186</v>
      </c>
    </row>
    <row r="4" spans="1:8" x14ac:dyDescent="0.3">
      <c r="A4" t="s">
        <v>1107</v>
      </c>
      <c r="B4">
        <v>59996</v>
      </c>
      <c r="E4" t="s">
        <v>1107</v>
      </c>
      <c r="F4">
        <v>56911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8BC5-7563-4A46-A8F9-3BDD8C286A88}">
  <dimension ref="A1:K5"/>
  <sheetViews>
    <sheetView tabSelected="1" workbookViewId="0">
      <selection activeCell="K10" sqref="K10"/>
    </sheetView>
  </sheetViews>
  <sheetFormatPr defaultColWidth="14.5546875" defaultRowHeight="14.4" x14ac:dyDescent="0.3"/>
  <cols>
    <col min="1" max="1" width="14.109375" bestFit="1" customWidth="1"/>
    <col min="2" max="2" width="9.44140625" bestFit="1" customWidth="1"/>
  </cols>
  <sheetData>
    <row r="1" spans="1:11" s="9" customFormat="1" x14ac:dyDescent="0.3">
      <c r="A1" s="9" t="s">
        <v>1118</v>
      </c>
      <c r="B1" s="9" t="s">
        <v>1</v>
      </c>
      <c r="F1" s="9" t="s">
        <v>7</v>
      </c>
      <c r="G1" s="9" t="s">
        <v>1</v>
      </c>
      <c r="I1" s="9" t="s">
        <v>1118</v>
      </c>
      <c r="J1" s="9" t="s">
        <v>1</v>
      </c>
      <c r="K1" s="9" t="s">
        <v>1119</v>
      </c>
    </row>
    <row r="2" spans="1:11" x14ac:dyDescent="0.3">
      <c r="A2" t="s">
        <v>1114</v>
      </c>
      <c r="B2">
        <v>2229</v>
      </c>
      <c r="C2" s="4">
        <f>B2/SUM($B$2:$B$5)</f>
        <v>1.0131818181818181E-2</v>
      </c>
      <c r="F2" t="s">
        <v>3</v>
      </c>
      <c r="G2">
        <v>3318</v>
      </c>
      <c r="I2" t="s">
        <v>1114</v>
      </c>
      <c r="J2">
        <v>2229</v>
      </c>
      <c r="K2">
        <v>826921</v>
      </c>
    </row>
    <row r="3" spans="1:11" x14ac:dyDescent="0.3">
      <c r="A3" s="12" t="s">
        <v>1115</v>
      </c>
      <c r="B3" s="12">
        <v>13459</v>
      </c>
      <c r="C3" s="13">
        <f>B3/SUM($B$2:$B$5)</f>
        <v>6.1177272727272726E-2</v>
      </c>
      <c r="F3" t="s">
        <v>4</v>
      </c>
      <c r="G3">
        <v>3346</v>
      </c>
      <c r="I3" t="s">
        <v>1115</v>
      </c>
      <c r="J3">
        <v>13459</v>
      </c>
      <c r="K3">
        <v>5058041</v>
      </c>
    </row>
    <row r="4" spans="1:11" x14ac:dyDescent="0.3">
      <c r="A4" s="10" t="s">
        <v>1116</v>
      </c>
      <c r="B4" s="10">
        <v>195492</v>
      </c>
      <c r="C4" s="11">
        <f>B4/SUM($B$2:$B$5)</f>
        <v>0.88859999999999995</v>
      </c>
      <c r="F4" t="s">
        <v>5</v>
      </c>
      <c r="G4">
        <v>3390</v>
      </c>
      <c r="I4" t="s">
        <v>1116</v>
      </c>
      <c r="J4">
        <v>195492</v>
      </c>
      <c r="K4">
        <v>73106058</v>
      </c>
    </row>
    <row r="5" spans="1:11" x14ac:dyDescent="0.3">
      <c r="A5" t="s">
        <v>1117</v>
      </c>
      <c r="B5">
        <v>8820</v>
      </c>
      <c r="C5" s="4">
        <f>B5/SUM($B$2:$B$5)</f>
        <v>4.0090909090909094E-2</v>
      </c>
      <c r="F5" t="s">
        <v>6</v>
      </c>
      <c r="G5">
        <v>3405</v>
      </c>
      <c r="I5" t="s">
        <v>1117</v>
      </c>
      <c r="J5">
        <v>8820</v>
      </c>
      <c r="K5">
        <v>3311530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Subscription &amp; Revenue Analysis</vt:lpstr>
      <vt:lpstr>Netflix Dashboard</vt:lpstr>
      <vt:lpstr>Churn &amp; Retention</vt:lpstr>
      <vt:lpstr>Customer Analysis</vt:lpstr>
      <vt:lpstr>Content &amp; Genre Analysis</vt:lpstr>
      <vt:lpstr>recommandation_shown</vt:lpstr>
      <vt:lpstr>payment_segament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dewangan</dc:creator>
  <cp:lastModifiedBy>nitesh dewangan</cp:lastModifiedBy>
  <dcterms:created xsi:type="dcterms:W3CDTF">2026-10-05T10:55:28Z</dcterms:created>
  <dcterms:modified xsi:type="dcterms:W3CDTF">2026-10-15T17:20:07Z</dcterms:modified>
</cp:coreProperties>
</file>